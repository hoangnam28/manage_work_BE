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2.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Project2\manage_work_BE\manage_work_BE\src\public\template\"/>
    </mc:Choice>
  </mc:AlternateContent>
  <bookViews>
    <workbookView xWindow="0" yWindow="0" windowWidth="28800" windowHeight="12915" tabRatio="924" firstSheet="1" activeTab="6"/>
  </bookViews>
  <sheets>
    <sheet name="READ_ME" sheetId="1" state="hidden" r:id="rId1"/>
    <sheet name="Enums" sheetId="43" r:id="rId2"/>
    <sheet name="Base" sheetId="50" r:id="rId3"/>
    <sheet name="UNITS_TRANSLATION" sheetId="15" r:id="rId4"/>
    <sheet name="CuWtTrans" sheetId="41" r:id="rId5"/>
    <sheet name="SITE" sheetId="47" state="hidden" r:id="rId6"/>
    <sheet name="CORE" sheetId="34" r:id="rId7"/>
    <sheet name="PREPREG" sheetId="24" r:id="rId8"/>
    <sheet name="FOIL" sheetId="26" r:id="rId9"/>
    <sheet name="FLEX_CLAD" sheetId="36" state="hidden" r:id="rId10"/>
    <sheet name="COVER_FILM" sheetId="38" state="hidden" r:id="rId11"/>
    <sheet name="ADHESIVE" sheetId="37" state="hidden" r:id="rId12"/>
    <sheet name="BONDPLY" sheetId="40" state="hidden" r:id="rId13"/>
    <sheet name="EMI_SHIELDING_FILM" sheetId="39" state="hidden" r:id="rId14"/>
    <sheet name="GENERAL_ACCESSORY" sheetId="45" state="hidden" r:id="rId15"/>
    <sheet name="MRP_STEP" sheetId="14" r:id="rId16"/>
    <sheet name="CUSTOMER" sheetId="12" r:id="rId17"/>
    <sheet name="MASK_MATERIAL" sheetId="46" r:id="rId18"/>
    <sheet name="DRILL_BIT" sheetId="13" r:id="rId19"/>
    <sheet name="Mask Enum Values" sheetId="49" state="hidden" r:id="rId20"/>
    <sheet name="CUSTOM_MATERIAL" sheetId="48" state="hidden" r:id="rId21"/>
    <sheet name="LAMINATE" sheetId="5" state="hidden" r:id="rId22"/>
    <sheet name="RCF" sheetId="2" state="hidden" r:id="rId23"/>
    <sheet name="MaterialTypes" sheetId="44" state="hidden" r:id="rId24"/>
  </sheets>
  <functionGroups builtInGroupCount="18"/>
  <externalReferences>
    <externalReference r:id="rId25"/>
  </externalReferences>
  <definedNames>
    <definedName name="_xlnm._FilterDatabase" localSheetId="6" hidden="1">CORE!$A$1:$DQ$2</definedName>
    <definedName name="_xlnm._FilterDatabase" localSheetId="16" hidden="1">CUSTOMER!$A$1:$C$113</definedName>
    <definedName name="_xlnm._FilterDatabase" localSheetId="8" hidden="1">FOIL!$A$1:$I$3</definedName>
    <definedName name="_xlnm._FilterDatabase" localSheetId="21" hidden="1">LAMINATE!$B$1:$CI$1</definedName>
    <definedName name="_xlnm._FilterDatabase" localSheetId="17" hidden="1">MASK_MATERIAL!$A$1:$AF$38</definedName>
    <definedName name="_xlnm._FilterDatabase" localSheetId="15" hidden="1">MRP_STEP!$A$1:$J$210</definedName>
    <definedName name="_xlnm._FilterDatabase" localSheetId="7" hidden="1">PREPREG!$A$1:$CU$2</definedName>
    <definedName name="Excel_BuiltIn__FilterDatabase_10" localSheetId="20">[1]COVER_FILM!#REF!</definedName>
    <definedName name="Excel_BuiltIn__FilterDatabase_10" localSheetId="14">[1]COVER_FILM!#REF!</definedName>
    <definedName name="Excel_BuiltIn__FilterDatabase_10" localSheetId="17">[1]COVER_FILM!#REF!</definedName>
    <definedName name="Excel_BuiltIn__FilterDatabase_10">[1]COVER_FILM!#REF!</definedName>
    <definedName name="Excel_BuiltIn__FilterDatabase_11" localSheetId="20">[1]GENERAL_ACCESSORY!#REF!</definedName>
    <definedName name="Excel_BuiltIn__FilterDatabase_11" localSheetId="14">[1]GENERAL_ACCESSORY!#REF!</definedName>
    <definedName name="Excel_BuiltIn__FilterDatabase_11" localSheetId="17">[1]GENERAL_ACCESSORY!#REF!</definedName>
    <definedName name="Excel_BuiltIn__FilterDatabase_11">[1]GENERAL_ACCESSORY!#REF!</definedName>
    <definedName name="Excel_BuiltIn__FilterDatabase_3" localSheetId="20">#REF!</definedName>
    <definedName name="Excel_BuiltIn__FilterDatabase_3" localSheetId="14">#REF!</definedName>
    <definedName name="Excel_BuiltIn__FilterDatabase_3" localSheetId="17">#REF!</definedName>
    <definedName name="Excel_BuiltIn__FilterDatabase_3">#REF!</definedName>
    <definedName name="Excel_BuiltIn__FilterDatabase_4" localSheetId="6">CORE!#REF!</definedName>
    <definedName name="Excel_BuiltIn__FilterDatabase_4" localSheetId="20">[1]Isola!#REF!</definedName>
    <definedName name="Excel_BuiltIn__FilterDatabase_4" localSheetId="14">[1]Isola!#REF!</definedName>
    <definedName name="Excel_BuiltIn__FilterDatabase_4" localSheetId="17">[1]Isola!#REF!</definedName>
    <definedName name="Excel_BuiltIn__FilterDatabase_4">[1]Isola!#REF!</definedName>
    <definedName name="Excel_BuiltIn__FilterDatabase_7" localSheetId="20">#REF!</definedName>
    <definedName name="Excel_BuiltIn__FilterDatabase_7" localSheetId="14">#REF!</definedName>
    <definedName name="Excel_BuiltIn__FilterDatabase_7" localSheetId="17">#REF!</definedName>
    <definedName name="Excel_BuiltIn__FilterDatabase_7">#REF!</definedName>
    <definedName name="Excel_BuiltIn__FilterDatabase_8" localSheetId="20">[1]BONDPLY!#REF!</definedName>
    <definedName name="Excel_BuiltIn__FilterDatabase_8" localSheetId="14">[1]BONDPLY!#REF!</definedName>
    <definedName name="Excel_BuiltIn__FilterDatabase_8" localSheetId="17">[1]BONDPLY!#REF!</definedName>
    <definedName name="Excel_BuiltIn__FilterDatabase_8">[1]BONDPLY!#REF!</definedName>
    <definedName name="Excel_BuiltIn__FilterDatabase_9" localSheetId="20">[1]ADHESIVE!#REF!</definedName>
    <definedName name="Excel_BuiltIn__FilterDatabase_9" localSheetId="14">[1]ADHESIVE!#REF!</definedName>
    <definedName name="Excel_BuiltIn__FilterDatabase_9" localSheetId="17">[1]ADHESIVE!#REF!</definedName>
    <definedName name="Excel_BuiltIn__FilterDatabase_9">[1]ADHESIVE!#REF!</definedName>
    <definedName name="Excel_BuiltIn_Print_Titles_4" localSheetId="6">CORE!$1:$1</definedName>
    <definedName name="Excel_BuiltIn_Print_Titles_7" localSheetId="20">#REF!</definedName>
    <definedName name="Excel_BuiltIn_Print_Titles_7" localSheetId="14">#REF!</definedName>
    <definedName name="Excel_BuiltIn_Print_Titles_7" localSheetId="17">#REF!</definedName>
    <definedName name="Excel_BuiltIn_Print_Titles_7">#REF!</definedName>
  </definedNames>
  <calcPr calcId="162913"/>
</workbook>
</file>

<file path=xl/calcChain.xml><?xml version="1.0" encoding="utf-8"?>
<calcChain xmlns="http://schemas.openxmlformats.org/spreadsheetml/2006/main">
  <c r="C2" i="24" l="1"/>
  <c r="A6" i="34" l="1"/>
  <c r="C6" i="34" s="1"/>
  <c r="B6" i="34"/>
  <c r="CV6" i="34"/>
  <c r="CW6" i="34" s="1"/>
  <c r="DD6" i="34"/>
  <c r="DE6" i="34"/>
  <c r="DF6" i="34"/>
  <c r="DG6" i="34"/>
  <c r="DH6" i="34"/>
  <c r="DI6" i="34"/>
  <c r="DK6" i="34" s="1"/>
  <c r="DJ6" i="34"/>
  <c r="DL6" i="34"/>
  <c r="DN6" i="34" s="1"/>
  <c r="DM6" i="34"/>
  <c r="A7" i="34"/>
  <c r="C7" i="34" s="1"/>
  <c r="B7" i="34"/>
  <c r="CV7" i="34"/>
  <c r="CW7" i="34"/>
  <c r="CX7" i="34"/>
  <c r="CY7" i="34" s="1"/>
  <c r="DD7" i="34"/>
  <c r="DE7" i="34"/>
  <c r="DF7" i="34"/>
  <c r="DG7" i="34"/>
  <c r="DH7" i="34"/>
  <c r="DI7" i="34"/>
  <c r="DJ7" i="34"/>
  <c r="DK7" i="34"/>
  <c r="DL7" i="34"/>
  <c r="DM7" i="34"/>
  <c r="DN7" i="34"/>
  <c r="A8" i="34"/>
  <c r="B8" i="34"/>
  <c r="CV8" i="34"/>
  <c r="CW8" i="34" s="1"/>
  <c r="DD8" i="34"/>
  <c r="DE8" i="34"/>
  <c r="DF8" i="34"/>
  <c r="DG8" i="34"/>
  <c r="DH8" i="34"/>
  <c r="DI8" i="34"/>
  <c r="DJ8" i="34" s="1"/>
  <c r="DL8" i="34"/>
  <c r="DM8" i="34" s="1"/>
  <c r="A9" i="34"/>
  <c r="C8" i="34" s="1"/>
  <c r="B9" i="34"/>
  <c r="CV9" i="34"/>
  <c r="CX9" i="34" s="1"/>
  <c r="CY9" i="34" s="1"/>
  <c r="CW9" i="34"/>
  <c r="DD9" i="34"/>
  <c r="DE9" i="34"/>
  <c r="DF9" i="34"/>
  <c r="DG9" i="34"/>
  <c r="DH9" i="34" s="1"/>
  <c r="DI9" i="34"/>
  <c r="DK9" i="34" s="1"/>
  <c r="DJ9" i="34"/>
  <c r="DL9" i="34"/>
  <c r="DM9" i="34"/>
  <c r="DN9" i="34"/>
  <c r="A10" i="34"/>
  <c r="B10" i="34"/>
  <c r="CV10" i="34"/>
  <c r="CW10" i="34"/>
  <c r="CX10" i="34"/>
  <c r="CY10" i="34"/>
  <c r="CZ10" i="34"/>
  <c r="DB10" i="34" s="1"/>
  <c r="DC10" i="34" s="1"/>
  <c r="DA10" i="34"/>
  <c r="DD10" i="34"/>
  <c r="DE10" i="34"/>
  <c r="DF10" i="34"/>
  <c r="DG10" i="34"/>
  <c r="DH10" i="34"/>
  <c r="DI10" i="34"/>
  <c r="DJ10" i="34"/>
  <c r="DK10" i="34"/>
  <c r="DL10" i="34"/>
  <c r="DM10" i="34" s="1"/>
  <c r="A11" i="34"/>
  <c r="C11" i="34" s="1"/>
  <c r="B11" i="34"/>
  <c r="CV11" i="34"/>
  <c r="CW11" i="34"/>
  <c r="CX11" i="34"/>
  <c r="CY11" i="34"/>
  <c r="DA11" i="34" s="1"/>
  <c r="CZ11" i="34"/>
  <c r="DB11" i="34" s="1"/>
  <c r="DC11" i="34" s="1"/>
  <c r="DD11" i="34"/>
  <c r="DE11" i="34"/>
  <c r="DF11" i="34"/>
  <c r="DG11" i="34"/>
  <c r="DH11" i="34"/>
  <c r="DI11" i="34"/>
  <c r="DK11" i="34" s="1"/>
  <c r="DJ11" i="34"/>
  <c r="DL11" i="34"/>
  <c r="DM11" i="34"/>
  <c r="DN11" i="34"/>
  <c r="CZ9" i="34" l="1"/>
  <c r="DB9" i="34" s="1"/>
  <c r="DC9" i="34" s="1"/>
  <c r="DA9" i="34"/>
  <c r="DA7" i="34"/>
  <c r="CZ7" i="34"/>
  <c r="DB7" i="34" s="1"/>
  <c r="DC7" i="34" s="1"/>
  <c r="CX8" i="34"/>
  <c r="CY8" i="34" s="1"/>
  <c r="C10" i="34"/>
  <c r="DN10" i="34"/>
  <c r="C9" i="34"/>
  <c r="DN8" i="34"/>
  <c r="CX6" i="34"/>
  <c r="CY6" i="34" s="1"/>
  <c r="DK8" i="34"/>
  <c r="A3" i="34"/>
  <c r="B3" i="34"/>
  <c r="CV3" i="34"/>
  <c r="CW3" i="34"/>
  <c r="CX3" i="34"/>
  <c r="CY3" i="34" s="1"/>
  <c r="DD3" i="34"/>
  <c r="DE3" i="34"/>
  <c r="DF3" i="34"/>
  <c r="DG3" i="34"/>
  <c r="DH3" i="34" s="1"/>
  <c r="DI3" i="34"/>
  <c r="DJ3" i="34" s="1"/>
  <c r="DL3" i="34"/>
  <c r="DM3" i="34"/>
  <c r="DN3" i="34"/>
  <c r="A4" i="34"/>
  <c r="B4" i="34"/>
  <c r="CV4" i="34"/>
  <c r="CW4" i="34" s="1"/>
  <c r="DD4" i="34"/>
  <c r="DE4" i="34"/>
  <c r="DF4" i="34"/>
  <c r="DG4" i="34"/>
  <c r="DH4" i="34"/>
  <c r="DI4" i="34"/>
  <c r="DJ4" i="34" s="1"/>
  <c r="DK4" i="34"/>
  <c r="DL4" i="34"/>
  <c r="DM4" i="34" s="1"/>
  <c r="A5" i="34"/>
  <c r="C4" i="34" s="1"/>
  <c r="B5" i="34"/>
  <c r="CV5" i="34"/>
  <c r="CW5" i="34" s="1"/>
  <c r="DD5" i="34"/>
  <c r="DE5" i="34"/>
  <c r="DF5" i="34"/>
  <c r="DG5" i="34"/>
  <c r="DH5" i="34" s="1"/>
  <c r="DI5" i="34"/>
  <c r="DK5" i="34" s="1"/>
  <c r="DJ5" i="34"/>
  <c r="DL5" i="34"/>
  <c r="DM5" i="34"/>
  <c r="DN5" i="34"/>
  <c r="DA6" i="34" l="1"/>
  <c r="CZ6" i="34"/>
  <c r="DB6" i="34" s="1"/>
  <c r="DC6" i="34" s="1"/>
  <c r="DA8" i="34"/>
  <c r="CZ8" i="34"/>
  <c r="DB8" i="34" s="1"/>
  <c r="DC8" i="34" s="1"/>
  <c r="DK3" i="34"/>
  <c r="C3" i="34"/>
  <c r="CZ3" i="34"/>
  <c r="DB3" i="34" s="1"/>
  <c r="DC3" i="34" s="1"/>
  <c r="DA3" i="34"/>
  <c r="CX5" i="34"/>
  <c r="CY5" i="34" s="1"/>
  <c r="CX4" i="34"/>
  <c r="CY4" i="34" s="1"/>
  <c r="C5" i="34"/>
  <c r="DN4" i="34"/>
  <c r="DA4" i="34" l="1"/>
  <c r="CZ4" i="34"/>
  <c r="DB4" i="34" s="1"/>
  <c r="DC4" i="34" s="1"/>
  <c r="CZ5" i="34"/>
  <c r="DB5" i="34" s="1"/>
  <c r="DC5" i="34" s="1"/>
  <c r="DA5" i="34"/>
  <c r="B5" i="24"/>
  <c r="K5" i="24"/>
  <c r="CC5" i="24" s="1"/>
  <c r="L5" i="24"/>
  <c r="A5" i="24" s="1"/>
  <c r="CJ5" i="24"/>
  <c r="CK5" i="24" s="1"/>
  <c r="CL5" i="24"/>
  <c r="CM5" i="24" s="1"/>
  <c r="CN5" i="24"/>
  <c r="CO5" i="24"/>
  <c r="CP5" i="24"/>
  <c r="B6" i="24"/>
  <c r="K6" i="24"/>
  <c r="CD6" i="24" s="1"/>
  <c r="CE6" i="24" s="1"/>
  <c r="L6" i="24"/>
  <c r="A6" i="24" s="1"/>
  <c r="CJ6" i="24"/>
  <c r="CK6" i="24"/>
  <c r="CL6" i="24"/>
  <c r="CM6" i="24" s="1"/>
  <c r="CN6" i="24"/>
  <c r="CO6" i="24"/>
  <c r="CP6" i="24"/>
  <c r="CF6" i="24" l="1"/>
  <c r="CH6" i="24" s="1"/>
  <c r="CI6" i="24" s="1"/>
  <c r="CG6" i="24"/>
  <c r="C6" i="24"/>
  <c r="T5" i="24"/>
  <c r="CR5" i="24" s="1"/>
  <c r="CC6" i="24"/>
  <c r="T6" i="24"/>
  <c r="CR6" i="24" s="1"/>
  <c r="CD5" i="24"/>
  <c r="CE5" i="24" s="1"/>
  <c r="CQ6" i="24"/>
  <c r="CF5" i="24" l="1"/>
  <c r="CH5" i="24" s="1"/>
  <c r="CI5" i="24" s="1"/>
  <c r="CG5" i="24"/>
  <c r="CQ5" i="24"/>
  <c r="B3" i="24"/>
  <c r="K3" i="24"/>
  <c r="L3" i="24"/>
  <c r="CJ3" i="24"/>
  <c r="CK3" i="24" s="1"/>
  <c r="CL3" i="24"/>
  <c r="CM3" i="24" s="1"/>
  <c r="CN3" i="24"/>
  <c r="CO3" i="24"/>
  <c r="CP3" i="24" s="1"/>
  <c r="B4" i="24"/>
  <c r="K4" i="24"/>
  <c r="T4" i="24" s="1"/>
  <c r="CR4" i="24" s="1"/>
  <c r="L4" i="24"/>
  <c r="A4" i="24" s="1"/>
  <c r="CJ4" i="24"/>
  <c r="CK4" i="24" s="1"/>
  <c r="CL4" i="24"/>
  <c r="CM4" i="24" s="1"/>
  <c r="CN4" i="24"/>
  <c r="CO4" i="24"/>
  <c r="CP4" i="24"/>
  <c r="C4" i="24" l="1"/>
  <c r="C5" i="24"/>
  <c r="CD4" i="24"/>
  <c r="CE4" i="24" s="1"/>
  <c r="A3" i="24"/>
  <c r="C3" i="24" s="1"/>
  <c r="CG4" i="24"/>
  <c r="CF4" i="24"/>
  <c r="CH4" i="24" s="1"/>
  <c r="CI4" i="24" s="1"/>
  <c r="CC4" i="24"/>
  <c r="CD3" i="24"/>
  <c r="CE3" i="24" s="1"/>
  <c r="CC3" i="24"/>
  <c r="T3" i="24"/>
  <c r="CR3" i="24" s="1"/>
  <c r="CQ4" i="24"/>
  <c r="CF3" i="24" l="1"/>
  <c r="CH3" i="24" s="1"/>
  <c r="CI3" i="24" s="1"/>
  <c r="CG3" i="24"/>
  <c r="CQ3" i="24"/>
  <c r="A2" i="34" l="1"/>
  <c r="B2" i="34"/>
  <c r="G8" i="41"/>
  <c r="F8" i="41"/>
  <c r="F9" i="41"/>
  <c r="C9" i="41"/>
  <c r="E9" i="41"/>
  <c r="G9" i="41"/>
  <c r="C10" i="41"/>
  <c r="E10" i="41"/>
  <c r="F10" i="41"/>
  <c r="G10" i="41"/>
  <c r="C11" i="41"/>
  <c r="E11" i="41"/>
  <c r="F11" i="41"/>
  <c r="G11" i="41"/>
  <c r="C12" i="41"/>
  <c r="E12" i="41"/>
  <c r="F12" i="41"/>
  <c r="G12" i="41"/>
  <c r="C13" i="41"/>
  <c r="E13" i="41"/>
  <c r="F13" i="41"/>
  <c r="G13" i="41"/>
  <c r="C14" i="41"/>
  <c r="E14" i="41"/>
  <c r="F14" i="41"/>
  <c r="G14" i="41"/>
  <c r="C15" i="41"/>
  <c r="E15" i="41"/>
  <c r="F15" i="41"/>
  <c r="G15" i="41"/>
  <c r="C16" i="41"/>
  <c r="E16" i="41"/>
  <c r="F16" i="41"/>
  <c r="G16" i="41"/>
  <c r="C17" i="41"/>
  <c r="E17" i="41"/>
  <c r="F17" i="41"/>
  <c r="G17" i="41"/>
  <c r="C18" i="41"/>
  <c r="E18" i="41"/>
  <c r="F18" i="41"/>
  <c r="G18" i="41"/>
  <c r="C2" i="34" l="1"/>
  <c r="H2" i="34" l="1"/>
  <c r="L2" i="24" l="1"/>
  <c r="K2" i="24"/>
  <c r="DG2" i="34"/>
  <c r="CV2" i="34"/>
  <c r="CX2" i="34" s="1"/>
  <c r="CY2" i="34" s="1"/>
  <c r="I210" i="14" l="1"/>
  <c r="B209" i="14" l="1"/>
  <c r="I209" i="14" s="1"/>
  <c r="B208" i="14" l="1"/>
  <c r="I208" i="14" s="1"/>
  <c r="B207" i="14" l="1"/>
  <c r="I207" i="14" s="1"/>
  <c r="B206" i="14"/>
  <c r="I206" i="14" s="1"/>
  <c r="B39" i="14" l="1"/>
  <c r="B86" i="14"/>
  <c r="B87" i="14"/>
  <c r="B88" i="14"/>
  <c r="C34" i="15" l="1"/>
  <c r="C38" i="15" s="1"/>
  <c r="C28" i="15"/>
  <c r="C31" i="15" s="1"/>
  <c r="C33" i="15" l="1"/>
  <c r="C32" i="15"/>
  <c r="C29" i="15"/>
  <c r="C30" i="15"/>
  <c r="C37" i="15"/>
  <c r="T2" i="24" l="1"/>
  <c r="A3" i="46" l="1"/>
  <c r="A4" i="46"/>
  <c r="A5" i="46"/>
  <c r="A6" i="46"/>
  <c r="A7" i="46"/>
  <c r="A8" i="46"/>
  <c r="A9" i="46"/>
  <c r="A10" i="46"/>
  <c r="A11" i="46"/>
  <c r="A12" i="46"/>
  <c r="A13" i="46"/>
  <c r="A14" i="46"/>
  <c r="A15" i="46"/>
  <c r="A16" i="46"/>
  <c r="A17" i="46"/>
  <c r="A18" i="46"/>
  <c r="A19" i="46"/>
  <c r="A20" i="46"/>
  <c r="A21" i="46"/>
  <c r="A22" i="46"/>
  <c r="A23" i="46"/>
  <c r="A24" i="46"/>
  <c r="A25" i="46"/>
  <c r="A26" i="46"/>
  <c r="A27" i="46"/>
  <c r="A28" i="46"/>
  <c r="A29" i="46"/>
  <c r="A30" i="46"/>
  <c r="A31" i="46"/>
  <c r="A32" i="46"/>
  <c r="A33" i="46"/>
  <c r="A34" i="46"/>
  <c r="A2" i="46"/>
  <c r="C26" i="46" l="1"/>
  <c r="B138" i="14" l="1"/>
  <c r="I138" i="14" s="1"/>
  <c r="B196" i="14"/>
  <c r="I196" i="14" s="1"/>
  <c r="B200" i="14"/>
  <c r="B199" i="14"/>
  <c r="I199" i="14" s="1"/>
  <c r="B158" i="14" l="1"/>
  <c r="I158" i="14" s="1"/>
  <c r="B126" i="14"/>
  <c r="I126" i="14" s="1"/>
  <c r="B169" i="14"/>
  <c r="I169" i="14" s="1"/>
  <c r="B127" i="14"/>
  <c r="I127" i="14" s="1"/>
  <c r="B121" i="14"/>
  <c r="I121" i="14" s="1"/>
  <c r="B125" i="14"/>
  <c r="I125" i="14" s="1"/>
  <c r="B124" i="14"/>
  <c r="I124" i="14" s="1"/>
  <c r="B123" i="14"/>
  <c r="I123" i="14" s="1"/>
  <c r="B111" i="14"/>
  <c r="I111" i="14" s="1"/>
  <c r="B110" i="14"/>
  <c r="I110" i="14" s="1"/>
  <c r="B112" i="14"/>
  <c r="I112" i="14" s="1"/>
  <c r="B99" i="14"/>
  <c r="I99" i="14" s="1"/>
  <c r="B11" i="14"/>
  <c r="I11" i="14" s="1"/>
  <c r="B8" i="14"/>
  <c r="I8" i="14" s="1"/>
  <c r="B3" i="14" l="1"/>
  <c r="B4" i="14"/>
  <c r="B5" i="14"/>
  <c r="B6" i="14"/>
  <c r="B7" i="14"/>
  <c r="B9" i="14"/>
  <c r="B10"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9" i="14"/>
  <c r="B90" i="14"/>
  <c r="B91" i="14"/>
  <c r="B92" i="14"/>
  <c r="B93" i="14"/>
  <c r="B94" i="14"/>
  <c r="B95" i="14"/>
  <c r="B96" i="14"/>
  <c r="B97" i="14"/>
  <c r="B98" i="14"/>
  <c r="B100" i="14"/>
  <c r="B101" i="14"/>
  <c r="B102" i="14"/>
  <c r="B103" i="14"/>
  <c r="B104" i="14"/>
  <c r="B105" i="14"/>
  <c r="B106" i="14"/>
  <c r="B107" i="14"/>
  <c r="B108" i="14"/>
  <c r="B109" i="14"/>
  <c r="B113" i="14"/>
  <c r="B114" i="14"/>
  <c r="B115" i="14"/>
  <c r="B116" i="14"/>
  <c r="B117" i="14"/>
  <c r="B118" i="14"/>
  <c r="B119" i="14"/>
  <c r="B120" i="14"/>
  <c r="B122" i="14"/>
  <c r="B128" i="14"/>
  <c r="B129" i="14"/>
  <c r="B130" i="14"/>
  <c r="B131" i="14"/>
  <c r="B132" i="14"/>
  <c r="B133" i="14"/>
  <c r="B134" i="14"/>
  <c r="B135" i="14"/>
  <c r="B136" i="14"/>
  <c r="B137" i="14"/>
  <c r="B139" i="14"/>
  <c r="B140" i="14"/>
  <c r="B141" i="14"/>
  <c r="B142" i="14"/>
  <c r="B143" i="14"/>
  <c r="B144" i="14"/>
  <c r="B145" i="14"/>
  <c r="B146" i="14"/>
  <c r="B147" i="14"/>
  <c r="B148" i="14"/>
  <c r="B149" i="14"/>
  <c r="B150" i="14"/>
  <c r="B151" i="14"/>
  <c r="B152" i="14"/>
  <c r="B153" i="14"/>
  <c r="B154" i="14"/>
  <c r="B155" i="14"/>
  <c r="B156" i="14"/>
  <c r="B157" i="14"/>
  <c r="B159" i="14"/>
  <c r="B160" i="14"/>
  <c r="B161" i="14"/>
  <c r="B162" i="14"/>
  <c r="B163" i="14"/>
  <c r="B164" i="14"/>
  <c r="B165" i="14"/>
  <c r="B166" i="14"/>
  <c r="B167" i="14"/>
  <c r="B168"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7" i="14"/>
  <c r="B198" i="14"/>
  <c r="B201" i="14"/>
  <c r="B202" i="14"/>
  <c r="B203" i="14"/>
  <c r="B204" i="14"/>
  <c r="B205" i="14"/>
  <c r="B2" i="14"/>
  <c r="I205" i="14" l="1"/>
  <c r="I190" i="14" l="1"/>
  <c r="I191" i="14"/>
  <c r="I192" i="14"/>
  <c r="I193" i="14"/>
  <c r="I194" i="14"/>
  <c r="I195" i="14"/>
  <c r="I197" i="14"/>
  <c r="I198" i="14"/>
  <c r="I200" i="14"/>
  <c r="I201" i="14"/>
  <c r="I202" i="14"/>
  <c r="I203" i="14"/>
  <c r="I204" i="14"/>
  <c r="CB2" i="24" l="1"/>
  <c r="A35" i="46" l="1"/>
  <c r="A36" i="46"/>
  <c r="A37" i="46"/>
  <c r="A38" i="46"/>
  <c r="B8" i="26"/>
  <c r="A8" i="26" s="1"/>
  <c r="B9" i="26"/>
  <c r="A9" i="26" s="1"/>
  <c r="B10" i="26"/>
  <c r="A10" i="26" s="1"/>
  <c r="B11" i="26"/>
  <c r="A11" i="26" s="1"/>
  <c r="B12" i="26"/>
  <c r="A12" i="26" s="1"/>
  <c r="B13" i="26"/>
  <c r="A13" i="26" s="1"/>
  <c r="B14" i="26"/>
  <c r="A14" i="26" s="1"/>
  <c r="B15" i="26"/>
  <c r="A15" i="26" s="1"/>
  <c r="B16" i="26"/>
  <c r="A16" i="26" s="1"/>
  <c r="B17" i="26"/>
  <c r="A17" i="26" s="1"/>
  <c r="B18" i="26"/>
  <c r="A18" i="26" s="1"/>
  <c r="B19" i="26"/>
  <c r="A19" i="26" s="1"/>
  <c r="B20" i="26"/>
  <c r="A20" i="26" s="1"/>
  <c r="B21" i="26"/>
  <c r="A21" i="26" s="1"/>
  <c r="B22" i="26"/>
  <c r="A22" i="26" s="1"/>
  <c r="B23" i="26"/>
  <c r="A23" i="26" s="1"/>
  <c r="B24" i="26"/>
  <c r="A24" i="26" s="1"/>
  <c r="B25" i="26"/>
  <c r="A25" i="26" s="1"/>
  <c r="B26" i="26"/>
  <c r="A26" i="26" s="1"/>
  <c r="C26" i="26" s="1"/>
  <c r="B27" i="26"/>
  <c r="A27" i="26" s="1"/>
  <c r="B28" i="26"/>
  <c r="A28" i="26" s="1"/>
  <c r="B29" i="26"/>
  <c r="A29" i="26" s="1"/>
  <c r="B3" i="26"/>
  <c r="A3" i="26" s="1"/>
  <c r="B4" i="26"/>
  <c r="A4" i="26" s="1"/>
  <c r="B5" i="26"/>
  <c r="A5" i="26" s="1"/>
  <c r="B6" i="26"/>
  <c r="A6" i="26" s="1"/>
  <c r="B2" i="26"/>
  <c r="A2" i="26" s="1"/>
  <c r="B2" i="24"/>
  <c r="A2" i="24" s="1"/>
  <c r="C24" i="26" l="1"/>
  <c r="C20" i="26"/>
  <c r="C28" i="26"/>
  <c r="C18" i="26"/>
  <c r="C25" i="26"/>
  <c r="C29" i="26"/>
  <c r="C21" i="26"/>
  <c r="C22" i="26"/>
  <c r="C21" i="46"/>
  <c r="C27" i="26"/>
  <c r="C19" i="26"/>
  <c r="C23" i="26"/>
  <c r="BV2" i="34"/>
  <c r="BU2" i="34"/>
  <c r="BJ2" i="24" l="1"/>
  <c r="BK2" i="24"/>
  <c r="V8" i="26" l="1"/>
  <c r="W8" i="26" s="1"/>
  <c r="I2" i="14" l="1"/>
  <c r="I33" i="14" l="1"/>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100" i="14"/>
  <c r="I101" i="14"/>
  <c r="I102" i="14"/>
  <c r="I103" i="14"/>
  <c r="I104" i="14"/>
  <c r="I105" i="14"/>
  <c r="I106" i="14"/>
  <c r="I107" i="14"/>
  <c r="I108" i="14"/>
  <c r="I109" i="14"/>
  <c r="I113" i="14"/>
  <c r="I114" i="14"/>
  <c r="I115" i="14"/>
  <c r="I116" i="14"/>
  <c r="I117" i="14"/>
  <c r="I118" i="14"/>
  <c r="I119" i="14"/>
  <c r="I120" i="14"/>
  <c r="I122" i="14"/>
  <c r="I128" i="14"/>
  <c r="I129" i="14"/>
  <c r="I130" i="14"/>
  <c r="I131" i="14"/>
  <c r="I132" i="14"/>
  <c r="I133" i="14"/>
  <c r="I134" i="14"/>
  <c r="I135" i="14"/>
  <c r="I136" i="14"/>
  <c r="I137" i="14"/>
  <c r="I139" i="14"/>
  <c r="I140" i="14"/>
  <c r="I141" i="14"/>
  <c r="I142" i="14"/>
  <c r="I143" i="14"/>
  <c r="I144" i="14"/>
  <c r="I145" i="14"/>
  <c r="I146" i="14"/>
  <c r="I147" i="14"/>
  <c r="I148" i="14"/>
  <c r="I149" i="14"/>
  <c r="I150" i="14"/>
  <c r="I151" i="14"/>
  <c r="I152" i="14"/>
  <c r="I153" i="14"/>
  <c r="I154" i="14"/>
  <c r="I155" i="14"/>
  <c r="I156" i="14"/>
  <c r="I157" i="14"/>
  <c r="I159" i="14"/>
  <c r="I160" i="14"/>
  <c r="I161" i="14"/>
  <c r="I162" i="14"/>
  <c r="I163" i="14"/>
  <c r="I164" i="14"/>
  <c r="I165" i="14"/>
  <c r="I166" i="14"/>
  <c r="I167" i="14"/>
  <c r="I168" i="14"/>
  <c r="I170" i="14"/>
  <c r="I171" i="14"/>
  <c r="I172" i="14"/>
  <c r="I173" i="14"/>
  <c r="I174" i="14"/>
  <c r="I175" i="14"/>
  <c r="I176" i="14"/>
  <c r="I177" i="14"/>
  <c r="I178" i="14"/>
  <c r="I179" i="14"/>
  <c r="I180" i="14"/>
  <c r="I181" i="14"/>
  <c r="I182" i="14"/>
  <c r="I183" i="14"/>
  <c r="I184" i="14"/>
  <c r="I185" i="14"/>
  <c r="I186" i="14"/>
  <c r="I187" i="14"/>
  <c r="I188" i="14"/>
  <c r="I189" i="14"/>
  <c r="C11" i="46" l="1"/>
  <c r="C28" i="46"/>
  <c r="C29" i="46"/>
  <c r="C7" i="46"/>
  <c r="C8" i="46"/>
  <c r="C9" i="46"/>
  <c r="C10" i="46"/>
  <c r="C12" i="46"/>
  <c r="C18" i="46"/>
  <c r="C23" i="46"/>
  <c r="C6" i="46"/>
  <c r="C14" i="46" l="1"/>
  <c r="C20" i="46"/>
  <c r="C32" i="46"/>
  <c r="C24" i="46"/>
  <c r="C16" i="46"/>
  <c r="C27" i="46"/>
  <c r="C25" i="46"/>
  <c r="C13" i="46"/>
  <c r="C17" i="46"/>
  <c r="C15" i="46"/>
  <c r="C30" i="46"/>
  <c r="C19" i="46"/>
  <c r="C22" i="46"/>
  <c r="C33" i="46"/>
  <c r="C31" i="46"/>
  <c r="C34" i="46"/>
  <c r="C5" i="46" l="1"/>
  <c r="B127" i="13"/>
  <c r="A127" i="13" s="1"/>
  <c r="B61" i="13"/>
  <c r="B66" i="13" l="1"/>
  <c r="A66" i="13" s="1"/>
  <c r="B67" i="13"/>
  <c r="A67" i="13" s="1"/>
  <c r="B68" i="13"/>
  <c r="A68" i="13" s="1"/>
  <c r="B69" i="13"/>
  <c r="A69" i="13" s="1"/>
  <c r="B70" i="13"/>
  <c r="A70" i="13" s="1"/>
  <c r="B71" i="13"/>
  <c r="A71" i="13" s="1"/>
  <c r="B72" i="13"/>
  <c r="A72" i="13" s="1"/>
  <c r="B73" i="13"/>
  <c r="A73" i="13" s="1"/>
  <c r="B74" i="13"/>
  <c r="A74" i="13" s="1"/>
  <c r="B75" i="13"/>
  <c r="A75" i="13" s="1"/>
  <c r="B76" i="13"/>
  <c r="A76" i="13" s="1"/>
  <c r="B77" i="13"/>
  <c r="A77" i="13" s="1"/>
  <c r="B78" i="13"/>
  <c r="A78" i="13" s="1"/>
  <c r="B79" i="13"/>
  <c r="A79" i="13" s="1"/>
  <c r="B80" i="13"/>
  <c r="A80" i="13" s="1"/>
  <c r="B81" i="13"/>
  <c r="A81" i="13" s="1"/>
  <c r="B82" i="13"/>
  <c r="A82" i="13" s="1"/>
  <c r="B83" i="13"/>
  <c r="A83" i="13" s="1"/>
  <c r="B84" i="13"/>
  <c r="A84" i="13" s="1"/>
  <c r="B85" i="13"/>
  <c r="A85" i="13" s="1"/>
  <c r="B86" i="13"/>
  <c r="A86" i="13" s="1"/>
  <c r="B87" i="13"/>
  <c r="A87" i="13" s="1"/>
  <c r="B88" i="13"/>
  <c r="A88" i="13" s="1"/>
  <c r="B89" i="13"/>
  <c r="A89" i="13" s="1"/>
  <c r="B90" i="13"/>
  <c r="A90" i="13" s="1"/>
  <c r="B91" i="13"/>
  <c r="A91" i="13" s="1"/>
  <c r="B92" i="13"/>
  <c r="A92" i="13" s="1"/>
  <c r="B93" i="13"/>
  <c r="A93" i="13" s="1"/>
  <c r="B94" i="13"/>
  <c r="A94" i="13" s="1"/>
  <c r="B95" i="13"/>
  <c r="A95" i="13" s="1"/>
  <c r="B96" i="13"/>
  <c r="A96" i="13" s="1"/>
  <c r="B97" i="13"/>
  <c r="A97" i="13" s="1"/>
  <c r="B98" i="13"/>
  <c r="A98" i="13" s="1"/>
  <c r="B99" i="13"/>
  <c r="A99" i="13" s="1"/>
  <c r="B100" i="13"/>
  <c r="A100" i="13" s="1"/>
  <c r="B101" i="13"/>
  <c r="A101" i="13" s="1"/>
  <c r="B102" i="13"/>
  <c r="A102" i="13" s="1"/>
  <c r="B103" i="13"/>
  <c r="A103" i="13" s="1"/>
  <c r="B104" i="13"/>
  <c r="A104" i="13" s="1"/>
  <c r="B105" i="13"/>
  <c r="A105" i="13" s="1"/>
  <c r="B106" i="13"/>
  <c r="A106" i="13" s="1"/>
  <c r="B107" i="13"/>
  <c r="A107" i="13" s="1"/>
  <c r="B108" i="13"/>
  <c r="A108" i="13" s="1"/>
  <c r="B109" i="13"/>
  <c r="A109" i="13" s="1"/>
  <c r="B110" i="13"/>
  <c r="A110" i="13" s="1"/>
  <c r="B111" i="13"/>
  <c r="A111" i="13" s="1"/>
  <c r="B112" i="13"/>
  <c r="A112" i="13" s="1"/>
  <c r="B113" i="13"/>
  <c r="A113" i="13" s="1"/>
  <c r="B114" i="13"/>
  <c r="A114" i="13" s="1"/>
  <c r="B115" i="13"/>
  <c r="A115" i="13" s="1"/>
  <c r="B116" i="13"/>
  <c r="A116" i="13" s="1"/>
  <c r="B117" i="13"/>
  <c r="A117" i="13" s="1"/>
  <c r="B118" i="13"/>
  <c r="A118" i="13" s="1"/>
  <c r="B119" i="13"/>
  <c r="A119" i="13" s="1"/>
  <c r="B120" i="13"/>
  <c r="A120" i="13" s="1"/>
  <c r="B121" i="13"/>
  <c r="A121" i="13" s="1"/>
  <c r="B122" i="13"/>
  <c r="A122" i="13" s="1"/>
  <c r="B123" i="13"/>
  <c r="A123" i="13" s="1"/>
  <c r="B124" i="13"/>
  <c r="A124" i="13" s="1"/>
  <c r="B125" i="13"/>
  <c r="A125" i="13" s="1"/>
  <c r="B126" i="13"/>
  <c r="A126" i="13" s="1"/>
  <c r="B65" i="13"/>
  <c r="I3" i="14" l="1"/>
  <c r="I4" i="14"/>
  <c r="I5" i="14"/>
  <c r="I6" i="14"/>
  <c r="I7" i="14"/>
  <c r="I9" i="14"/>
  <c r="I10" i="14"/>
  <c r="I12" i="14"/>
  <c r="I13" i="14"/>
  <c r="I14" i="14"/>
  <c r="I15" i="14"/>
  <c r="I16" i="14"/>
  <c r="I17" i="14"/>
  <c r="I18" i="14"/>
  <c r="I19" i="14"/>
  <c r="I20" i="14"/>
  <c r="I21" i="14"/>
  <c r="I22" i="14"/>
  <c r="I23" i="14"/>
  <c r="I24" i="14"/>
  <c r="I25" i="14"/>
  <c r="I26" i="14"/>
  <c r="I27" i="14"/>
  <c r="I28" i="14"/>
  <c r="I29" i="14"/>
  <c r="I30" i="14"/>
  <c r="I31" i="14"/>
  <c r="I32" i="14"/>
  <c r="A3" i="48" l="1"/>
  <c r="A4" i="48"/>
  <c r="A2" i="48"/>
  <c r="C4" i="48" l="1"/>
  <c r="C2" i="48"/>
  <c r="C3" i="48"/>
  <c r="BZ3" i="5" l="1"/>
  <c r="BZ2" i="5"/>
  <c r="CU2" i="34"/>
  <c r="C47" i="15"/>
  <c r="C48" i="15" s="1"/>
  <c r="C20" i="15"/>
  <c r="CT2" i="34"/>
  <c r="C51" i="15"/>
  <c r="C91" i="15"/>
  <c r="C87" i="15"/>
  <c r="C80" i="15"/>
  <c r="C74" i="15"/>
  <c r="C69" i="15"/>
  <c r="C62" i="15"/>
  <c r="B3" i="5"/>
  <c r="A3" i="5" s="1"/>
  <c r="B2" i="5"/>
  <c r="A2" i="5" s="1"/>
  <c r="CJ3" i="5"/>
  <c r="CJ2" i="5"/>
  <c r="CB3" i="5"/>
  <c r="CC3" i="5" s="1"/>
  <c r="CD3" i="5" s="1"/>
  <c r="CE3" i="5" s="1"/>
  <c r="CB2" i="5"/>
  <c r="CC2" i="5" s="1"/>
  <c r="CD2" i="5" s="1"/>
  <c r="CE2" i="5" s="1"/>
  <c r="BY3" i="5"/>
  <c r="BY2" i="5"/>
  <c r="CA3" i="5"/>
  <c r="CA2" i="5"/>
  <c r="CI3" i="5"/>
  <c r="CI2" i="5"/>
  <c r="CF2" i="5"/>
  <c r="CG3" i="5"/>
  <c r="CH3" i="5" s="1"/>
  <c r="CG2" i="5"/>
  <c r="CH2" i="5" s="1"/>
  <c r="CF3" i="5"/>
  <c r="B3" i="45"/>
  <c r="B2" i="45"/>
  <c r="A3" i="45"/>
  <c r="A2" i="45"/>
  <c r="H3" i="36"/>
  <c r="Q3" i="36" s="1"/>
  <c r="H2" i="36"/>
  <c r="Q2" i="36" s="1"/>
  <c r="AK3" i="36"/>
  <c r="AK2" i="36"/>
  <c r="CS2" i="34"/>
  <c r="S9" i="26"/>
  <c r="S10" i="26"/>
  <c r="S2" i="26"/>
  <c r="S3" i="26"/>
  <c r="S4" i="26"/>
  <c r="S5" i="26"/>
  <c r="S6" i="26"/>
  <c r="S11" i="26"/>
  <c r="S12" i="26"/>
  <c r="S13" i="26"/>
  <c r="S14" i="26"/>
  <c r="S15" i="26"/>
  <c r="S16" i="26"/>
  <c r="S17" i="26"/>
  <c r="S18" i="26"/>
  <c r="S19" i="26"/>
  <c r="S20" i="26"/>
  <c r="S21" i="26"/>
  <c r="S22" i="26"/>
  <c r="S23" i="26"/>
  <c r="S24" i="26"/>
  <c r="S25" i="26"/>
  <c r="S26" i="26"/>
  <c r="S27" i="26"/>
  <c r="S28" i="26"/>
  <c r="S29" i="26"/>
  <c r="S8" i="26"/>
  <c r="CO2" i="24"/>
  <c r="CP2" i="24" s="1"/>
  <c r="CN2" i="24"/>
  <c r="DH2" i="34"/>
  <c r="DF2" i="34"/>
  <c r="CR2" i="34"/>
  <c r="V13" i="26"/>
  <c r="W13" i="26" s="1"/>
  <c r="C4" i="46"/>
  <c r="DI2" i="34"/>
  <c r="DL2" i="34"/>
  <c r="AO3" i="36"/>
  <c r="AO2" i="36"/>
  <c r="V10" i="26"/>
  <c r="X10" i="26" s="1"/>
  <c r="V2" i="26"/>
  <c r="W2" i="26" s="1"/>
  <c r="V3" i="26"/>
  <c r="W3" i="26" s="1"/>
  <c r="V6" i="26"/>
  <c r="W6" i="26" s="1"/>
  <c r="V11" i="26"/>
  <c r="V14" i="26"/>
  <c r="V15" i="26"/>
  <c r="V18" i="26"/>
  <c r="X18" i="26" s="1"/>
  <c r="V19" i="26"/>
  <c r="W19" i="26" s="1"/>
  <c r="V20" i="26"/>
  <c r="X20" i="26" s="1"/>
  <c r="V22" i="26"/>
  <c r="W22" i="26" s="1"/>
  <c r="V23" i="26"/>
  <c r="X23" i="26" s="1"/>
  <c r="V24" i="26"/>
  <c r="X24" i="26" s="1"/>
  <c r="V26" i="26"/>
  <c r="W26" i="26" s="1"/>
  <c r="V27" i="26"/>
  <c r="X27" i="26" s="1"/>
  <c r="V28" i="26"/>
  <c r="W28" i="26" s="1"/>
  <c r="Y3" i="39"/>
  <c r="Y4" i="39"/>
  <c r="Y5" i="39"/>
  <c r="Y6" i="39"/>
  <c r="Y2" i="39"/>
  <c r="Y3" i="45"/>
  <c r="Y2" i="45"/>
  <c r="AE3" i="40"/>
  <c r="AE2" i="40"/>
  <c r="W3" i="37"/>
  <c r="W4" i="37"/>
  <c r="W5" i="37"/>
  <c r="W2" i="37"/>
  <c r="AA3" i="38"/>
  <c r="AA4" i="38"/>
  <c r="AA2" i="38"/>
  <c r="B3" i="39"/>
  <c r="A3" i="39" s="1"/>
  <c r="B4" i="39"/>
  <c r="A4" i="39" s="1"/>
  <c r="B5" i="39"/>
  <c r="A5" i="39" s="1"/>
  <c r="B6" i="39"/>
  <c r="A6" i="39" s="1"/>
  <c r="B2" i="39"/>
  <c r="A2" i="39" s="1"/>
  <c r="B3" i="40"/>
  <c r="A3" i="40" s="1"/>
  <c r="B2" i="40"/>
  <c r="A2" i="40" s="1"/>
  <c r="X3" i="40"/>
  <c r="W3" i="40"/>
  <c r="X2" i="40"/>
  <c r="W2" i="40"/>
  <c r="U3" i="38"/>
  <c r="U4" i="38"/>
  <c r="K3" i="38"/>
  <c r="K4" i="38"/>
  <c r="M3" i="40"/>
  <c r="L3" i="40"/>
  <c r="M2" i="40"/>
  <c r="L2" i="40"/>
  <c r="B3" i="37"/>
  <c r="A3" i="37" s="1"/>
  <c r="B4" i="37"/>
  <c r="A4" i="37" s="1"/>
  <c r="B5" i="37"/>
  <c r="A5" i="37" s="1"/>
  <c r="C5" i="37" s="1"/>
  <c r="B2" i="37"/>
  <c r="A2" i="37" s="1"/>
  <c r="C2" i="37" s="1"/>
  <c r="B3" i="38"/>
  <c r="A3" i="38" s="1"/>
  <c r="B4" i="38"/>
  <c r="A4" i="38"/>
  <c r="B2" i="38"/>
  <c r="A2" i="38" s="1"/>
  <c r="U2" i="38"/>
  <c r="K2" i="38"/>
  <c r="AB3" i="36"/>
  <c r="AB2" i="36"/>
  <c r="AC2" i="36" s="1"/>
  <c r="P3" i="36"/>
  <c r="P2" i="36"/>
  <c r="DE2" i="34"/>
  <c r="DD2" i="34"/>
  <c r="CL2" i="24"/>
  <c r="CM2" i="24" s="1"/>
  <c r="CJ2" i="24"/>
  <c r="CK2" i="24" s="1"/>
  <c r="X8" i="26"/>
  <c r="B4" i="13"/>
  <c r="A4" i="13" s="1"/>
  <c r="B5" i="13"/>
  <c r="A5" i="13" s="1"/>
  <c r="B6" i="13"/>
  <c r="A6" i="13" s="1"/>
  <c r="B7" i="13"/>
  <c r="A7" i="13" s="1"/>
  <c r="B8" i="13"/>
  <c r="A8" i="13" s="1"/>
  <c r="B9" i="13"/>
  <c r="A9" i="13" s="1"/>
  <c r="B10" i="13"/>
  <c r="A10" i="13" s="1"/>
  <c r="B11" i="13"/>
  <c r="A11" i="13" s="1"/>
  <c r="B12" i="13"/>
  <c r="A12" i="13" s="1"/>
  <c r="B13" i="13"/>
  <c r="A13" i="13" s="1"/>
  <c r="B14" i="13"/>
  <c r="A14" i="13" s="1"/>
  <c r="B15" i="13"/>
  <c r="A15" i="13" s="1"/>
  <c r="B16" i="13"/>
  <c r="A16" i="13" s="1"/>
  <c r="B17" i="13"/>
  <c r="A17" i="13" s="1"/>
  <c r="B18" i="13"/>
  <c r="A18" i="13" s="1"/>
  <c r="B19" i="13"/>
  <c r="A19" i="13" s="1"/>
  <c r="B20" i="13"/>
  <c r="A20" i="13" s="1"/>
  <c r="B21" i="13"/>
  <c r="A21" i="13" s="1"/>
  <c r="B22" i="13"/>
  <c r="A22" i="13" s="1"/>
  <c r="B23" i="13"/>
  <c r="A23" i="13" s="1"/>
  <c r="B24" i="13"/>
  <c r="A24" i="13" s="1"/>
  <c r="B25" i="13"/>
  <c r="A25" i="13" s="1"/>
  <c r="B26" i="13"/>
  <c r="A26" i="13" s="1"/>
  <c r="B27" i="13"/>
  <c r="A27" i="13" s="1"/>
  <c r="B28" i="13"/>
  <c r="A28" i="13" s="1"/>
  <c r="B29" i="13"/>
  <c r="A29" i="13" s="1"/>
  <c r="B30" i="13"/>
  <c r="A30" i="13" s="1"/>
  <c r="B31" i="13"/>
  <c r="A31" i="13" s="1"/>
  <c r="B32" i="13"/>
  <c r="A32" i="13" s="1"/>
  <c r="B33" i="13"/>
  <c r="A33" i="13" s="1"/>
  <c r="B34" i="13"/>
  <c r="A34" i="13" s="1"/>
  <c r="B35" i="13"/>
  <c r="A35" i="13" s="1"/>
  <c r="B36" i="13"/>
  <c r="A36" i="13" s="1"/>
  <c r="B37" i="13"/>
  <c r="A37" i="13" s="1"/>
  <c r="B38" i="13"/>
  <c r="A38" i="13" s="1"/>
  <c r="B39" i="13"/>
  <c r="A39" i="13" s="1"/>
  <c r="B40" i="13"/>
  <c r="A40" i="13" s="1"/>
  <c r="B41" i="13"/>
  <c r="A41" i="13" s="1"/>
  <c r="B42" i="13"/>
  <c r="A42" i="13" s="1"/>
  <c r="B43" i="13"/>
  <c r="A43" i="13" s="1"/>
  <c r="B44" i="13"/>
  <c r="A44" i="13" s="1"/>
  <c r="B45" i="13"/>
  <c r="A45" i="13" s="1"/>
  <c r="B46" i="13"/>
  <c r="A46" i="13" s="1"/>
  <c r="B47" i="13"/>
  <c r="A47" i="13" s="1"/>
  <c r="B48" i="13"/>
  <c r="A48" i="13" s="1"/>
  <c r="B49" i="13"/>
  <c r="A49" i="13" s="1"/>
  <c r="B50" i="13"/>
  <c r="A50" i="13" s="1"/>
  <c r="B51" i="13"/>
  <c r="A51" i="13" s="1"/>
  <c r="B52" i="13"/>
  <c r="A52" i="13" s="1"/>
  <c r="B53" i="13"/>
  <c r="A53" i="13" s="1"/>
  <c r="B54" i="13"/>
  <c r="A54" i="13" s="1"/>
  <c r="B55" i="13"/>
  <c r="A55" i="13" s="1"/>
  <c r="B56" i="13"/>
  <c r="A56" i="13" s="1"/>
  <c r="B57" i="13"/>
  <c r="A57" i="13" s="1"/>
  <c r="B58" i="13"/>
  <c r="A58" i="13" s="1"/>
  <c r="B59" i="13"/>
  <c r="A59" i="13" s="1"/>
  <c r="B60" i="13"/>
  <c r="A60" i="13" s="1"/>
  <c r="A61" i="13"/>
  <c r="B62" i="13"/>
  <c r="A62" i="13" s="1"/>
  <c r="B63" i="13"/>
  <c r="A63" i="13" s="1"/>
  <c r="B64" i="13"/>
  <c r="A64" i="13" s="1"/>
  <c r="A65" i="13"/>
  <c r="B3" i="13"/>
  <c r="A3" i="13" s="1"/>
  <c r="B2" i="13"/>
  <c r="A2" i="13" s="1"/>
  <c r="A2" i="2"/>
  <c r="C2" i="45"/>
  <c r="C3" i="45"/>
  <c r="AC3" i="36"/>
  <c r="AM3" i="36" l="1"/>
  <c r="V12" i="26"/>
  <c r="C2" i="5"/>
  <c r="V5" i="26"/>
  <c r="X5" i="26" s="1"/>
  <c r="V25" i="26"/>
  <c r="X25" i="26" s="1"/>
  <c r="V21" i="26"/>
  <c r="W21" i="26" s="1"/>
  <c r="AN2" i="36"/>
  <c r="V4" i="26"/>
  <c r="W4" i="26" s="1"/>
  <c r="R3" i="36"/>
  <c r="V16" i="26"/>
  <c r="W16" i="26" s="1"/>
  <c r="V17" i="26"/>
  <c r="W17" i="26" s="1"/>
  <c r="AN3" i="36"/>
  <c r="V9" i="26"/>
  <c r="X9" i="26" s="1"/>
  <c r="DM2" i="34"/>
  <c r="DK2" i="34"/>
  <c r="DJ2" i="34"/>
  <c r="C15" i="26"/>
  <c r="C11" i="26"/>
  <c r="X28" i="26"/>
  <c r="W27" i="26"/>
  <c r="X26" i="26"/>
  <c r="W24" i="26"/>
  <c r="W23" i="26"/>
  <c r="X22" i="26"/>
  <c r="X19" i="26"/>
  <c r="W18" i="26"/>
  <c r="X13" i="26"/>
  <c r="X3" i="26"/>
  <c r="X2" i="26"/>
  <c r="W10" i="26"/>
  <c r="C3" i="46"/>
  <c r="C2" i="46"/>
  <c r="C9" i="26"/>
  <c r="C8" i="26"/>
  <c r="C10" i="26"/>
  <c r="C4" i="37"/>
  <c r="W14" i="26"/>
  <c r="X14" i="26"/>
  <c r="C6" i="39"/>
  <c r="C17" i="26"/>
  <c r="C3" i="5"/>
  <c r="R2" i="36"/>
  <c r="C14" i="26"/>
  <c r="W20" i="26"/>
  <c r="C5" i="26"/>
  <c r="V29" i="26"/>
  <c r="C18" i="15"/>
  <c r="X6" i="26"/>
  <c r="C2" i="38"/>
  <c r="C19" i="15"/>
  <c r="C2" i="26"/>
  <c r="DN2" i="34"/>
  <c r="C2" i="39"/>
  <c r="C3" i="40"/>
  <c r="C2" i="40"/>
  <c r="X11" i="26"/>
  <c r="W11" i="26"/>
  <c r="C16" i="26"/>
  <c r="AL3" i="36"/>
  <c r="B3" i="36"/>
  <c r="A3" i="36" s="1"/>
  <c r="C3" i="37"/>
  <c r="C5" i="39"/>
  <c r="W15" i="26"/>
  <c r="X15" i="26"/>
  <c r="C3" i="38"/>
  <c r="C4" i="38"/>
  <c r="C12" i="26"/>
  <c r="C3" i="39"/>
  <c r="C4" i="39"/>
  <c r="X12" i="26"/>
  <c r="W12" i="26"/>
  <c r="C4" i="26"/>
  <c r="AL2" i="36"/>
  <c r="B2" i="36"/>
  <c r="A2" i="36" s="1"/>
  <c r="C3" i="26"/>
  <c r="C6" i="26"/>
  <c r="C13" i="26"/>
  <c r="AM2" i="36"/>
  <c r="X16" i="26" l="1"/>
  <c r="W5" i="26"/>
  <c r="W9" i="26"/>
  <c r="X4" i="26"/>
  <c r="X21" i="26"/>
  <c r="W25" i="26"/>
  <c r="X17" i="26"/>
  <c r="DA2" i="34"/>
  <c r="CW2" i="34"/>
  <c r="C2" i="36"/>
  <c r="X29" i="26"/>
  <c r="W29" i="26"/>
  <c r="C3" i="36"/>
  <c r="CZ2" i="34" l="1"/>
  <c r="DB2" i="34" s="1"/>
  <c r="DC2" i="34" s="1"/>
  <c r="CD2" i="24" l="1"/>
  <c r="CE2" i="24" s="1"/>
  <c r="CF2" i="24" s="1"/>
  <c r="CH2" i="24" s="1"/>
  <c r="CI2" i="24" s="1"/>
  <c r="CR2" i="24"/>
  <c r="CC2" i="24"/>
  <c r="CQ2" i="24" l="1"/>
  <c r="CG2" i="24"/>
</calcChain>
</file>

<file path=xl/comments1.xml><?xml version="1.0" encoding="utf-8"?>
<comments xmlns="http://schemas.openxmlformats.org/spreadsheetml/2006/main">
  <authors>
    <author>Charlie Huang</author>
    <author>meiko</author>
  </authors>
  <commentList>
    <comment ref="K4" authorId="0" shapeId="0">
      <text>
        <r>
          <rPr>
            <b/>
            <sz val="9"/>
            <color indexed="81"/>
            <rFont val="Tahoma"/>
            <family val="2"/>
          </rPr>
          <t>Charlie Huang:</t>
        </r>
        <r>
          <rPr>
            <sz val="9"/>
            <color indexed="81"/>
            <rFont val="Tahoma"/>
            <family val="2"/>
          </rPr>
          <t xml:space="preserve">
Foil, 1001~1009
Isola: 1020~1039
Pansonic: 1040~1059
Nelco: 1060~1079
EMC: 1080~1099
Rogers: 1100~1119
TUC: 1120~1139
Iteq: 1140~1059
Flex:
Polymide: 1500
Tatsuta: 1501~1519
Dupont: 1520~1539
ThinFlex: 1540~1559
Doosan: 1560~1579
Mask:
Taiyo: 1700~1709
 </t>
        </r>
      </text>
    </comment>
    <comment ref="L7" authorId="1" shapeId="0">
      <text>
        <r>
          <rPr>
            <b/>
            <sz val="9"/>
            <color indexed="81"/>
            <rFont val="Tahoma"/>
            <family val="2"/>
          </rPr>
          <t>TU-747P HF</t>
        </r>
      </text>
    </comment>
    <comment ref="L14" authorId="1" shapeId="0">
      <text>
        <r>
          <rPr>
            <b/>
            <sz val="9"/>
            <color indexed="81"/>
            <rFont val="Tahoma"/>
            <family val="2"/>
          </rPr>
          <t>R-1650E</t>
        </r>
        <r>
          <rPr>
            <sz val="9"/>
            <color indexed="81"/>
            <rFont val="Tahoma"/>
            <family val="2"/>
          </rPr>
          <t xml:space="preserve">
</t>
        </r>
      </text>
    </comment>
    <comment ref="L16" authorId="1" shapeId="0">
      <text>
        <r>
          <rPr>
            <b/>
            <sz val="9"/>
            <color indexed="81"/>
            <rFont val="Tahoma"/>
            <family val="2"/>
          </rPr>
          <t>PP: R-1551MW</t>
        </r>
        <r>
          <rPr>
            <sz val="9"/>
            <color indexed="81"/>
            <rFont val="Tahoma"/>
            <family val="2"/>
          </rPr>
          <t xml:space="preserve">
</t>
        </r>
      </text>
    </comment>
    <comment ref="L17" authorId="1" shapeId="0">
      <text>
        <r>
          <rPr>
            <b/>
            <sz val="9"/>
            <color indexed="81"/>
            <rFont val="Tahoma"/>
            <family val="2"/>
          </rPr>
          <t>PP: R-1551W</t>
        </r>
      </text>
    </comment>
    <comment ref="L18" authorId="1" shapeId="0">
      <text>
        <r>
          <rPr>
            <b/>
            <sz val="9"/>
            <color indexed="81"/>
            <rFont val="Tahoma"/>
            <family val="2"/>
          </rPr>
          <t>PP: R-1551WN</t>
        </r>
      </text>
    </comment>
    <comment ref="L19" authorId="1" shapeId="0">
      <text>
        <r>
          <rPr>
            <b/>
            <sz val="9"/>
            <color indexed="81"/>
            <rFont val="Tahoma"/>
            <family val="2"/>
          </rPr>
          <t>PP: R-1650M</t>
        </r>
      </text>
    </comment>
    <comment ref="L20" authorId="1" shapeId="0">
      <text>
        <r>
          <rPr>
            <b/>
            <sz val="9"/>
            <color indexed="81"/>
            <rFont val="Tahoma"/>
            <family val="2"/>
          </rPr>
          <t>PP: R-1530</t>
        </r>
        <r>
          <rPr>
            <sz val="9"/>
            <color indexed="81"/>
            <rFont val="Tahoma"/>
            <family val="2"/>
          </rPr>
          <t xml:space="preserve">
</t>
        </r>
      </text>
    </comment>
    <comment ref="N20" authorId="1" shapeId="0">
      <text>
        <r>
          <rPr>
            <b/>
            <sz val="9"/>
            <color indexed="81"/>
            <rFont val="Tahoma"/>
            <family val="2"/>
          </rPr>
          <t>Tên trước là Hitachi. 
Đổi tên ngày 2020/12/17</t>
        </r>
        <r>
          <rPr>
            <sz val="9"/>
            <color indexed="81"/>
            <rFont val="Tahoma"/>
            <family val="2"/>
          </rPr>
          <t xml:space="preserve">
</t>
        </r>
      </text>
    </comment>
    <comment ref="L21" authorId="1" shapeId="0">
      <text>
        <r>
          <rPr>
            <b/>
            <sz val="9"/>
            <color indexed="81"/>
            <rFont val="Tahoma"/>
            <family val="2"/>
          </rPr>
          <t>R-A550W</t>
        </r>
        <r>
          <rPr>
            <sz val="9"/>
            <color indexed="81"/>
            <rFont val="Tahoma"/>
            <family val="2"/>
          </rPr>
          <t xml:space="preserve">
</t>
        </r>
      </text>
    </comment>
    <comment ref="L30" authorId="1" shapeId="0">
      <text>
        <r>
          <rPr>
            <b/>
            <sz val="9"/>
            <color indexed="81"/>
            <rFont val="Tahoma"/>
            <family val="2"/>
          </rPr>
          <t>EM-A5B</t>
        </r>
        <r>
          <rPr>
            <sz val="9"/>
            <color indexed="81"/>
            <rFont val="Tahoma"/>
            <family val="2"/>
          </rPr>
          <t xml:space="preserve">
</t>
        </r>
      </text>
    </comment>
    <comment ref="L31" authorId="1" shapeId="0">
      <text>
        <r>
          <rPr>
            <b/>
            <sz val="9"/>
            <color indexed="81"/>
            <rFont val="Tahoma"/>
            <family val="2"/>
          </rPr>
          <t>EM-526B</t>
        </r>
        <r>
          <rPr>
            <sz val="9"/>
            <color indexed="81"/>
            <rFont val="Tahoma"/>
            <family val="2"/>
          </rPr>
          <t xml:space="preserve">
</t>
        </r>
      </text>
    </comment>
    <comment ref="L32" authorId="1" shapeId="0">
      <text>
        <r>
          <rPr>
            <b/>
            <sz val="9"/>
            <color indexed="81"/>
            <rFont val="Tahoma"/>
            <family val="2"/>
          </rPr>
          <t>EM-528B</t>
        </r>
        <r>
          <rPr>
            <sz val="9"/>
            <color indexed="81"/>
            <rFont val="Tahoma"/>
            <family val="2"/>
          </rPr>
          <t xml:space="preserve">
</t>
        </r>
      </text>
    </comment>
    <comment ref="L33" authorId="1" shapeId="0">
      <text>
        <r>
          <rPr>
            <b/>
            <sz val="9"/>
            <color indexed="81"/>
            <rFont val="Tahoma"/>
            <family val="2"/>
          </rPr>
          <t>EM-825B(I)</t>
        </r>
        <r>
          <rPr>
            <sz val="9"/>
            <color indexed="81"/>
            <rFont val="Tahoma"/>
            <family val="2"/>
          </rPr>
          <t xml:space="preserve">
</t>
        </r>
      </text>
    </comment>
    <comment ref="L35" authorId="1" shapeId="0">
      <text>
        <r>
          <rPr>
            <b/>
            <sz val="9"/>
            <color indexed="81"/>
            <rFont val="Tahoma"/>
            <family val="2"/>
          </rPr>
          <t>EM-827B(I)</t>
        </r>
        <r>
          <rPr>
            <sz val="9"/>
            <color indexed="81"/>
            <rFont val="Tahoma"/>
            <family val="2"/>
          </rPr>
          <t xml:space="preserve">
</t>
        </r>
      </text>
    </comment>
    <comment ref="L36" authorId="1" shapeId="0">
      <text>
        <r>
          <rPr>
            <b/>
            <sz val="9"/>
            <color indexed="81"/>
            <rFont val="Tahoma"/>
            <family val="2"/>
          </rPr>
          <t>EM-891B</t>
        </r>
        <r>
          <rPr>
            <sz val="9"/>
            <color indexed="81"/>
            <rFont val="Tahoma"/>
            <family val="2"/>
          </rPr>
          <t xml:space="preserve">
</t>
        </r>
      </text>
    </comment>
    <comment ref="L37" authorId="1" shapeId="0">
      <text>
        <r>
          <rPr>
            <b/>
            <sz val="9"/>
            <color indexed="81"/>
            <rFont val="Tahoma"/>
            <family val="2"/>
          </rPr>
          <t>S1000H</t>
        </r>
        <r>
          <rPr>
            <sz val="9"/>
            <color indexed="81"/>
            <rFont val="Tahoma"/>
            <family val="2"/>
          </rPr>
          <t xml:space="preserve">
</t>
        </r>
      </text>
    </comment>
    <comment ref="L38" authorId="1" shapeId="0">
      <text>
        <r>
          <rPr>
            <b/>
            <sz val="9"/>
            <color indexed="81"/>
            <rFont val="Tahoma"/>
            <family val="2"/>
          </rPr>
          <t>S1150GB</t>
        </r>
        <r>
          <rPr>
            <sz val="9"/>
            <color indexed="81"/>
            <rFont val="Tahoma"/>
            <family val="2"/>
          </rPr>
          <t xml:space="preserve">
</t>
        </r>
      </text>
    </comment>
    <comment ref="L40" authorId="1" shapeId="0">
      <text>
        <r>
          <rPr>
            <b/>
            <sz val="9"/>
            <color indexed="81"/>
            <rFont val="Tahoma"/>
            <family val="2"/>
          </rPr>
          <t>AUTOLAD2GHB</t>
        </r>
        <r>
          <rPr>
            <sz val="9"/>
            <color indexed="81"/>
            <rFont val="Tahoma"/>
            <family val="2"/>
          </rPr>
          <t xml:space="preserve">
</t>
        </r>
      </text>
    </comment>
    <comment ref="L45" authorId="1" shapeId="0">
      <text>
        <r>
          <rPr>
            <b/>
            <sz val="9"/>
            <color indexed="81"/>
            <rFont val="Tahoma"/>
            <family val="2"/>
          </rPr>
          <t>NP-155FBHB</t>
        </r>
        <r>
          <rPr>
            <sz val="9"/>
            <color indexed="81"/>
            <rFont val="Tahoma"/>
            <family val="2"/>
          </rPr>
          <t xml:space="preserve">
</t>
        </r>
      </text>
    </comment>
    <comment ref="L46" authorId="1" shapeId="0">
      <text>
        <r>
          <rPr>
            <b/>
            <sz val="9"/>
            <color indexed="81"/>
            <rFont val="Tahoma"/>
            <family val="2"/>
          </rPr>
          <t>NP-155FB</t>
        </r>
      </text>
    </comment>
    <comment ref="L47" authorId="1" shapeId="0">
      <text>
        <r>
          <rPr>
            <b/>
            <sz val="9"/>
            <color indexed="81"/>
            <rFont val="Tahoma"/>
            <family val="2"/>
          </rPr>
          <t>NP-155FB</t>
        </r>
      </text>
    </comment>
    <comment ref="L49" authorId="1" shapeId="0">
      <text>
        <r>
          <rPr>
            <b/>
            <sz val="9"/>
            <color indexed="81"/>
            <rFont val="Tahoma"/>
            <family val="2"/>
          </rPr>
          <t>DS-8402H-BS</t>
        </r>
        <r>
          <rPr>
            <sz val="9"/>
            <color indexed="81"/>
            <rFont val="Tahoma"/>
            <family val="2"/>
          </rPr>
          <t xml:space="preserve">
</t>
        </r>
      </text>
    </comment>
    <comment ref="L51" authorId="1" shapeId="0">
      <text>
        <r>
          <rPr>
            <b/>
            <sz val="9"/>
            <color indexed="81"/>
            <rFont val="Tahoma"/>
            <family val="2"/>
          </rPr>
          <t>DS-8502LC-BS</t>
        </r>
        <r>
          <rPr>
            <sz val="9"/>
            <color indexed="81"/>
            <rFont val="Tahoma"/>
            <family val="2"/>
          </rPr>
          <t xml:space="preserve">
</t>
        </r>
      </text>
    </comment>
    <comment ref="L52" authorId="1" shapeId="0">
      <text>
        <r>
          <rPr>
            <b/>
            <sz val="9"/>
            <color indexed="81"/>
            <rFont val="Tahoma"/>
            <family val="2"/>
          </rPr>
          <t>DS-8502SQ-BS</t>
        </r>
        <r>
          <rPr>
            <sz val="9"/>
            <color indexed="81"/>
            <rFont val="Tahoma"/>
            <family val="2"/>
          </rPr>
          <t xml:space="preserve">
</t>
        </r>
      </text>
    </comment>
    <comment ref="L53" authorId="1" shapeId="0">
      <text>
        <r>
          <rPr>
            <b/>
            <sz val="9"/>
            <color indexed="81"/>
            <rFont val="Tahoma"/>
            <family val="2"/>
          </rPr>
          <t>IT-150GBS</t>
        </r>
        <r>
          <rPr>
            <sz val="9"/>
            <color indexed="81"/>
            <rFont val="Tahoma"/>
            <family val="2"/>
          </rPr>
          <t xml:space="preserve">
</t>
        </r>
      </text>
    </comment>
    <comment ref="L54" authorId="1" shapeId="0">
      <text>
        <r>
          <rPr>
            <b/>
            <sz val="9"/>
            <color indexed="81"/>
            <rFont val="Tahoma"/>
            <family val="2"/>
          </rPr>
          <t>IT-158BS</t>
        </r>
        <r>
          <rPr>
            <sz val="9"/>
            <color indexed="81"/>
            <rFont val="Tahoma"/>
            <family val="2"/>
          </rPr>
          <t xml:space="preserve">
</t>
        </r>
      </text>
    </comment>
    <comment ref="L55" authorId="1" shapeId="0">
      <text>
        <r>
          <rPr>
            <b/>
            <sz val="9"/>
            <color indexed="81"/>
            <rFont val="Tahoma"/>
            <family val="2"/>
          </rPr>
          <t>IT-170GTB</t>
        </r>
        <r>
          <rPr>
            <sz val="9"/>
            <color indexed="81"/>
            <rFont val="Tahoma"/>
            <family val="2"/>
          </rPr>
          <t xml:space="preserve">
</t>
        </r>
      </text>
    </comment>
    <comment ref="L56" authorId="1" shapeId="0">
      <text>
        <r>
          <rPr>
            <b/>
            <sz val="9"/>
            <color indexed="81"/>
            <rFont val="Tahoma"/>
            <family val="2"/>
          </rPr>
          <t>IT-180ABS</t>
        </r>
        <r>
          <rPr>
            <sz val="9"/>
            <color indexed="81"/>
            <rFont val="Tahoma"/>
            <family val="2"/>
          </rPr>
          <t xml:space="preserve">
</t>
        </r>
      </text>
    </comment>
    <comment ref="L57" authorId="1" shapeId="0">
      <text>
        <r>
          <rPr>
            <b/>
            <sz val="9"/>
            <color indexed="81"/>
            <rFont val="Tahoma"/>
            <family val="2"/>
          </rPr>
          <t>EM-89B</t>
        </r>
      </text>
    </comment>
  </commentList>
</comments>
</file>

<file path=xl/comments2.xml><?xml version="1.0" encoding="utf-8"?>
<comments xmlns="http://schemas.openxmlformats.org/spreadsheetml/2006/main">
  <authors>
    <author>meiko</author>
    <author>Administrator</author>
  </authors>
  <commentList>
    <comment ref="B16" authorId="0" shapeId="0">
      <text>
        <r>
          <rPr>
            <sz val="9"/>
            <color indexed="81"/>
            <rFont val="Tahoma"/>
            <family val="2"/>
          </rPr>
          <t xml:space="preserve">84.8 +/-3
</t>
        </r>
      </text>
    </comment>
    <comment ref="B17" authorId="0" shapeId="0">
      <text>
        <r>
          <rPr>
            <sz val="9"/>
            <color indexed="81"/>
            <rFont val="Tahoma"/>
            <family val="2"/>
          </rPr>
          <t>81 +/-2</t>
        </r>
      </text>
    </comment>
    <comment ref="E34" authorId="0" shapeId="0">
      <text>
        <r>
          <rPr>
            <b/>
            <sz val="9"/>
            <color indexed="81"/>
            <rFont val="Tahoma"/>
            <family val="2"/>
          </rPr>
          <t>Thực tế là IT-150GBS. Meiko yêu cầu thêm chữ M ở cuối</t>
        </r>
        <r>
          <rPr>
            <sz val="9"/>
            <color indexed="81"/>
            <rFont val="Tahoma"/>
            <family val="2"/>
          </rPr>
          <t xml:space="preserve">
</t>
        </r>
      </text>
    </comment>
    <comment ref="E41" authorId="0" shapeId="0">
      <text>
        <r>
          <rPr>
            <b/>
            <sz val="9"/>
            <color indexed="81"/>
            <rFont val="Tahoma"/>
            <family val="2"/>
          </rPr>
          <t>Update new 2021/04/12</t>
        </r>
        <r>
          <rPr>
            <sz val="9"/>
            <color indexed="81"/>
            <rFont val="Tahoma"/>
            <family val="2"/>
          </rPr>
          <t xml:space="preserve">
</t>
        </r>
      </text>
    </comment>
    <comment ref="E42" authorId="0" shapeId="0">
      <text>
        <r>
          <rPr>
            <b/>
            <sz val="9"/>
            <color indexed="81"/>
            <rFont val="Tahoma"/>
            <family val="2"/>
          </rPr>
          <t>Update new 2021/04/12</t>
        </r>
      </text>
    </comment>
    <comment ref="E43" authorId="0" shapeId="0">
      <text>
        <r>
          <rPr>
            <b/>
            <sz val="9"/>
            <color indexed="81"/>
            <rFont val="Tahoma"/>
            <family val="2"/>
          </rPr>
          <t>Update 2022/12/24</t>
        </r>
        <r>
          <rPr>
            <sz val="9"/>
            <color indexed="81"/>
            <rFont val="Tahoma"/>
            <family val="2"/>
          </rPr>
          <t xml:space="preserve">
</t>
        </r>
      </text>
    </comment>
    <comment ref="E45" authorId="0" shapeId="0">
      <text>
        <r>
          <rPr>
            <b/>
            <sz val="9"/>
            <color indexed="81"/>
            <rFont val="Tahoma"/>
            <family val="2"/>
          </rPr>
          <t>Update 2023/02/15</t>
        </r>
      </text>
    </comment>
    <comment ref="E48" authorId="0" shapeId="0">
      <text>
        <r>
          <rPr>
            <b/>
            <sz val="9"/>
            <color indexed="81"/>
            <rFont val="Tahoma"/>
            <family val="2"/>
          </rPr>
          <t>Update 2023/03/17</t>
        </r>
        <r>
          <rPr>
            <sz val="9"/>
            <color indexed="81"/>
            <rFont val="Tahoma"/>
            <family val="2"/>
          </rPr>
          <t xml:space="preserve">
</t>
        </r>
      </text>
    </comment>
    <comment ref="E51" authorId="0" shapeId="0">
      <text>
        <r>
          <rPr>
            <b/>
            <sz val="9"/>
            <color indexed="81"/>
            <rFont val="Tahoma"/>
            <family val="2"/>
          </rPr>
          <t>Update 2023/05/10</t>
        </r>
        <r>
          <rPr>
            <sz val="9"/>
            <color indexed="81"/>
            <rFont val="Tahoma"/>
            <family val="2"/>
          </rPr>
          <t xml:space="preserve">
</t>
        </r>
      </text>
    </comment>
    <comment ref="E52" authorId="0" shapeId="0">
      <text>
        <r>
          <rPr>
            <b/>
            <sz val="9"/>
            <color indexed="81"/>
            <rFont val="Tahoma"/>
            <family val="2"/>
          </rPr>
          <t>Update 2023/05/10</t>
        </r>
        <r>
          <rPr>
            <sz val="9"/>
            <color indexed="81"/>
            <rFont val="Tahoma"/>
            <family val="2"/>
          </rPr>
          <t xml:space="preserve">
</t>
        </r>
      </text>
    </comment>
    <comment ref="E53" authorId="0" shapeId="0">
      <text>
        <r>
          <rPr>
            <b/>
            <sz val="9"/>
            <color indexed="81"/>
            <rFont val="Tahoma"/>
            <family val="2"/>
          </rPr>
          <t>Update 2023/05/15</t>
        </r>
        <r>
          <rPr>
            <sz val="9"/>
            <color indexed="81"/>
            <rFont val="Tahoma"/>
            <family val="2"/>
          </rPr>
          <t xml:space="preserve">
</t>
        </r>
      </text>
    </comment>
    <comment ref="E54" authorId="1" shapeId="0">
      <text>
        <r>
          <rPr>
            <b/>
            <sz val="9"/>
            <color indexed="81"/>
            <rFont val="Tahoma"/>
            <family val="2"/>
          </rPr>
          <t xml:space="preserve">Update 2023/09/06
</t>
        </r>
      </text>
    </comment>
    <comment ref="E55" authorId="1" shapeId="0">
      <text>
        <r>
          <rPr>
            <b/>
            <sz val="9"/>
            <color indexed="81"/>
            <rFont val="Tahoma"/>
            <family val="2"/>
          </rPr>
          <t xml:space="preserve">Update 2024/11/26
</t>
        </r>
      </text>
    </comment>
  </commentList>
</comments>
</file>

<file path=xl/comments3.xml><?xml version="1.0" encoding="utf-8"?>
<comments xmlns="http://schemas.openxmlformats.org/spreadsheetml/2006/main">
  <authors>
    <author>Charlie Huang</author>
  </authors>
  <commentList>
    <comment ref="E1" authorId="0" shapeId="0">
      <text>
        <r>
          <rPr>
            <b/>
            <sz val="9"/>
            <color indexed="81"/>
            <rFont val="Tahoma"/>
            <family val="2"/>
          </rPr>
          <t>Charlie Huang:</t>
        </r>
        <r>
          <rPr>
            <sz val="9"/>
            <color indexed="81"/>
            <rFont val="Tahoma"/>
            <family val="2"/>
          </rPr>
          <t xml:space="preserve">
This table represents the copper thickness (mic) in the material library.
</t>
        </r>
      </text>
    </comment>
    <comment ref="F1" authorId="0" shapeId="0">
      <text>
        <r>
          <rPr>
            <b/>
            <sz val="9"/>
            <color indexed="81"/>
            <rFont val="Tahoma"/>
            <family val="2"/>
          </rPr>
          <t>Charlie Huang:</t>
        </r>
        <r>
          <rPr>
            <sz val="9"/>
            <color indexed="81"/>
            <rFont val="Tahoma"/>
            <family val="2"/>
          </rPr>
          <t xml:space="preserve">
This table represents the copper thickness (mil) in the material library.
</t>
        </r>
      </text>
    </comment>
    <comment ref="G1" authorId="0" shapeId="0">
      <text>
        <r>
          <rPr>
            <b/>
            <sz val="9"/>
            <color indexed="81"/>
            <rFont val="Tahoma"/>
            <family val="2"/>
          </rPr>
          <t>Charlie Huang:</t>
        </r>
        <r>
          <rPr>
            <sz val="9"/>
            <color indexed="81"/>
            <rFont val="Tahoma"/>
            <family val="2"/>
          </rPr>
          <t xml:space="preserve">
Post process thickness defined by IPC</t>
        </r>
      </text>
    </comment>
  </commentList>
</comments>
</file>

<file path=xl/comments4.xml><?xml version="1.0" encoding="utf-8"?>
<comments xmlns="http://schemas.openxmlformats.org/spreadsheetml/2006/main">
  <authors>
    <author/>
    <author>charlie</author>
    <author>Charlie Huang</author>
    <author>Windows User</author>
    <author>Steve Packard</author>
    <author>meiko</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Có thêm kích thước sheet vào tên VL ko?</t>
        </r>
      </text>
    </comment>
    <comment ref="E1" authorId="1" shapeId="0">
      <text>
        <r>
          <rPr>
            <b/>
            <sz val="9"/>
            <color indexed="81"/>
            <rFont val="Tahoma"/>
            <family val="2"/>
          </rPr>
          <t>charlie:</t>
        </r>
        <r>
          <rPr>
            <sz val="9"/>
            <color indexed="81"/>
            <rFont val="Tahoma"/>
            <family val="2"/>
          </rPr>
          <t xml:space="preserve">
To set the copper thickness by which Units
</t>
        </r>
        <r>
          <rPr>
            <b/>
            <sz val="9"/>
            <color indexed="81"/>
            <rFont val="Tahoma"/>
            <family val="2"/>
          </rPr>
          <t>Đơn vị độ dày đồng</t>
        </r>
      </text>
    </comment>
    <comment ref="F1" authorId="0" shapeId="0">
      <text>
        <r>
          <rPr>
            <b/>
            <sz val="10"/>
            <color indexed="8"/>
            <rFont val="Times New Roman"/>
            <family val="1"/>
          </rPr>
          <t xml:space="preserve"> frontline-pcb:
</t>
        </r>
        <r>
          <rPr>
            <sz val="10"/>
            <color indexed="8"/>
            <rFont val="Times New Roman"/>
            <family val="1"/>
          </rPr>
          <t xml:space="preserve">This field should contain the vendor name of this material. 
It's important to make sure that the values entered here are part of the enum values for VENDOR
</t>
        </r>
        <r>
          <rPr>
            <b/>
            <sz val="10"/>
            <color indexed="8"/>
            <rFont val="Times New Roman"/>
            <family val="1"/>
          </rPr>
          <t>Tên NCC (phải trùng với tên NCC thiết định trong Enums)</t>
        </r>
      </text>
    </comment>
    <comment ref="G1" authorId="0" shapeId="0">
      <text>
        <r>
          <rPr>
            <b/>
            <sz val="10"/>
            <color indexed="8"/>
            <rFont val="Times New Roman"/>
            <family val="1"/>
          </rPr>
          <t xml:space="preserve"> frontline-pcb:
</t>
        </r>
        <r>
          <rPr>
            <sz val="10"/>
            <color indexed="8"/>
            <rFont val="Times New Roman"/>
            <family val="1"/>
          </rPr>
          <t xml:space="preserve">This field should contain the family name of this material. 
It's important to make sure that the values entered here are part of the enum values for MATERIAL_FAMILY
</t>
        </r>
        <r>
          <rPr>
            <b/>
            <sz val="10"/>
            <color indexed="8"/>
            <rFont val="Times New Roman"/>
            <family val="1"/>
          </rPr>
          <t>Loại VL, đảm bảo giá trị nhập vào là 1 phần của các giá trị trong cột MATERIAL_FAMILY của sheet enums</t>
        </r>
      </text>
    </comment>
    <comment ref="H1" authorId="0" shapeId="0">
      <text>
        <r>
          <rPr>
            <b/>
            <sz val="10"/>
            <color indexed="8"/>
            <rFont val="Times New Roman"/>
            <family val="1"/>
          </rPr>
          <t xml:space="preserve"> frontline-pcb:
</t>
        </r>
        <r>
          <rPr>
            <sz val="10"/>
            <color indexed="8"/>
            <rFont val="Times New Roman"/>
            <family val="1"/>
          </rPr>
          <t>This field contains the number of prepregs used inside this core
Số tấm PP dùng trong Core</t>
        </r>
      </text>
    </comment>
    <comment ref="I1" authorId="2" shapeId="0">
      <text>
        <r>
          <rPr>
            <b/>
            <sz val="9"/>
            <color indexed="81"/>
            <rFont val="Tahoma"/>
            <family val="2"/>
          </rPr>
          <t>Charlie Huang:</t>
        </r>
        <r>
          <rPr>
            <sz val="9"/>
            <color indexed="81"/>
            <rFont val="Tahoma"/>
            <family val="2"/>
          </rPr>
          <t xml:space="preserve">
Value in inch or mm
The data format will be show in Generic Name and Material Name
Độ dày VL (đơn vị inch hoặc mm, sẽ được ghép trong tên VL</t>
        </r>
      </text>
    </comment>
    <comment ref="J1" authorId="3" shapeId="0">
      <text>
        <r>
          <rPr>
            <b/>
            <sz val="9"/>
            <color indexed="81"/>
            <rFont val="Tahoma"/>
            <family val="2"/>
          </rPr>
          <t>get from the purchasing system</t>
        </r>
        <r>
          <rPr>
            <sz val="9"/>
            <color indexed="81"/>
            <rFont val="Tahoma"/>
            <family val="2"/>
          </rPr>
          <t xml:space="preserve">
Độ dày danh nghĩa
(Lấy từ hệ thống mua hàng) sẽ ghép trong tên VL</t>
        </r>
      </text>
    </comment>
    <comment ref="K1" authorId="3" shapeId="0">
      <text>
        <r>
          <rPr>
            <b/>
            <sz val="9"/>
            <color indexed="81"/>
            <rFont val="Tahoma"/>
            <family val="2"/>
          </rPr>
          <t>0
1
2
3
Độ thông dụng, 3 là cao nhất</t>
        </r>
      </text>
    </comment>
    <comment ref="L1" authorId="3" shapeId="0">
      <text>
        <r>
          <rPr>
            <b/>
            <sz val="9"/>
            <color indexed="81"/>
            <rFont val="Tahoma"/>
            <family val="2"/>
          </rPr>
          <t>MLB
HDI
HDI/MLB</t>
        </r>
        <r>
          <rPr>
            <sz val="9"/>
            <color indexed="81"/>
            <rFont val="Tahoma"/>
            <family val="2"/>
          </rPr>
          <t xml:space="preserve">
ANY</t>
        </r>
      </text>
    </comment>
    <comment ref="M1" authorId="3" shapeId="0">
      <text>
        <r>
          <rPr>
            <sz val="9"/>
            <color indexed="81"/>
            <rFont val="Tahoma"/>
            <family val="2"/>
          </rPr>
          <t xml:space="preserve">not in use now
</t>
        </r>
      </text>
    </comment>
    <comment ref="N1" authorId="2" shapeId="0">
      <text>
        <r>
          <rPr>
            <b/>
            <sz val="9"/>
            <color indexed="81"/>
            <rFont val="Tahoma"/>
            <family val="2"/>
          </rPr>
          <t>Charlie Huang:</t>
        </r>
        <r>
          <rPr>
            <sz val="9"/>
            <color indexed="81"/>
            <rFont val="Tahoma"/>
            <family val="2"/>
          </rPr>
          <t xml:space="preserve">
Define the Normilnal Thickness include Copper Thickness or not
Thiết định xem độ dày có bao gồm đồng ko</t>
        </r>
      </text>
    </comment>
    <comment ref="O1" authorId="0" shapeId="0">
      <text>
        <r>
          <rPr>
            <b/>
            <sz val="10"/>
            <color indexed="8"/>
            <rFont val="Times New Roman"/>
            <family val="1"/>
          </rPr>
          <t xml:space="preserve"> frontline-pcb:
</t>
        </r>
        <r>
          <rPr>
            <sz val="10"/>
            <color indexed="8"/>
            <rFont val="Times New Roman"/>
            <family val="1"/>
          </rPr>
          <t>This field should contain the top foil cupper weight. 
Before running the macro please make sure that the correct units are configured in sheets "Units_translation"
Độ dày lá đồng lớp trên. Trước khi chạy macro, đảm bảo thiết định đúng đơn vị trong sheet "Units translation"</t>
        </r>
      </text>
    </comment>
    <comment ref="P1" authorId="0" shapeId="0">
      <text>
        <r>
          <rPr>
            <b/>
            <sz val="10"/>
            <color indexed="8"/>
            <rFont val="Times New Roman"/>
            <family val="1"/>
          </rPr>
          <t xml:space="preserve"> frontline-pcb:
</t>
        </r>
        <r>
          <rPr>
            <sz val="10"/>
            <color indexed="8"/>
            <rFont val="Times New Roman"/>
            <family val="1"/>
          </rPr>
          <t>This field should contain the bottom foil cupper weight. 
Before running the macro please make sure that the correct units are configured in sheets "Units_translation"
Độ dày lá đồng lớp dưới</t>
        </r>
      </text>
    </comment>
    <comment ref="Q1" authorId="0" shapeId="0">
      <text>
        <r>
          <rPr>
            <b/>
            <sz val="10"/>
            <color indexed="8"/>
            <rFont val="Times New Roman"/>
            <family val="1"/>
          </rPr>
          <t xml:space="preserve"> frontline-pcb:
</t>
        </r>
        <r>
          <rPr>
            <sz val="10"/>
            <color indexed="8"/>
            <rFont val="Times New Roman"/>
            <family val="1"/>
          </rPr>
          <t>This field should contain the TG minimum temperture.
Before running the macro please make sure that the configuration in "units_translation" sheet is correct. Lấy theo phương pháp đo(TMA)</t>
        </r>
      </text>
    </comment>
    <comment ref="R1" authorId="0" shapeId="0">
      <text>
        <r>
          <rPr>
            <b/>
            <sz val="10"/>
            <color indexed="8"/>
            <rFont val="Times New Roman"/>
            <family val="1"/>
          </rPr>
          <t xml:space="preserve"> frontline-pcb:
</t>
        </r>
        <r>
          <rPr>
            <sz val="10"/>
            <color indexed="8"/>
            <rFont val="Times New Roman"/>
            <family val="1"/>
          </rPr>
          <t>This field should contain the TG maximum  temperture.
Before running the macro please make sure that the configuration in "units_translation" sheet is correct.</t>
        </r>
      </text>
    </comment>
    <comment ref="T1" authorId="2" shapeId="0">
      <text>
        <r>
          <rPr>
            <b/>
            <sz val="9"/>
            <color indexed="81"/>
            <rFont val="Tahoma"/>
            <family val="2"/>
          </rPr>
          <t>Charlie Huang:</t>
        </r>
        <r>
          <rPr>
            <sz val="9"/>
            <color indexed="81"/>
            <rFont val="Tahoma"/>
            <family val="2"/>
          </rPr>
          <t xml:space="preserve">
Material thickness tolerance will be set based on the class type
</t>
        </r>
      </text>
    </comment>
    <comment ref="BS1" authorId="1" shapeId="0">
      <text>
        <r>
          <rPr>
            <b/>
            <sz val="9"/>
            <color indexed="81"/>
            <rFont val="Tahoma"/>
            <family val="2"/>
          </rPr>
          <t>FLS:</t>
        </r>
        <r>
          <rPr>
            <sz val="9"/>
            <color indexed="81"/>
            <rFont val="Tahoma"/>
            <family val="2"/>
          </rPr>
          <t xml:space="preserve">
Halogen Free Compliant</t>
        </r>
      </text>
    </comment>
    <comment ref="BT1" authorId="1" shapeId="0">
      <text>
        <r>
          <rPr>
            <b/>
            <sz val="9"/>
            <color indexed="81"/>
            <rFont val="Tahoma"/>
            <family val="2"/>
          </rPr>
          <t>FLS:</t>
        </r>
        <r>
          <rPr>
            <sz val="9"/>
            <color indexed="81"/>
            <rFont val="Tahoma"/>
            <family val="2"/>
          </rPr>
          <t xml:space="preserve">
RoHS Compliant
RoHS Không?</t>
        </r>
      </text>
    </comment>
    <comment ref="BU1" authorId="1" shapeId="0">
      <text>
        <r>
          <rPr>
            <b/>
            <sz val="9"/>
            <color indexed="81"/>
            <rFont val="Tahoma"/>
            <family val="2"/>
          </rPr>
          <t>FLS:</t>
        </r>
        <r>
          <rPr>
            <sz val="9"/>
            <color indexed="81"/>
            <rFont val="Tahoma"/>
            <family val="2"/>
          </rPr>
          <t xml:space="preserve">
Low DK Material
  DK &lt; 3.67
DK có nhỏ hơn 3.67 ko?</t>
        </r>
      </text>
    </comment>
    <comment ref="BV1" authorId="1" shapeId="0">
      <text>
        <r>
          <rPr>
            <b/>
            <sz val="9"/>
            <color indexed="81"/>
            <rFont val="Tahoma"/>
            <family val="2"/>
          </rPr>
          <t>FLS:</t>
        </r>
        <r>
          <rPr>
            <sz val="9"/>
            <color indexed="81"/>
            <rFont val="Tahoma"/>
            <family val="2"/>
          </rPr>
          <t xml:space="preserve">
Is Low DF Material
  DF &lt; 0.0125
DF có nhỏ hơn 0.0125 không?</t>
        </r>
      </text>
    </comment>
    <comment ref="CH1" authorId="2" shapeId="0">
      <text>
        <r>
          <rPr>
            <b/>
            <sz val="9"/>
            <color indexed="81"/>
            <rFont val="Tahoma"/>
            <family val="2"/>
          </rPr>
          <t>Charlie Huang:</t>
        </r>
        <r>
          <rPr>
            <sz val="9"/>
            <color indexed="81"/>
            <rFont val="Tahoma"/>
            <family val="2"/>
          </rPr>
          <t xml:space="preserve">
Remark the Data Come from
up to 100 chars</t>
        </r>
      </text>
    </comment>
    <comment ref="CI1" authorId="0" shapeId="0">
      <text>
        <r>
          <rPr>
            <b/>
            <sz val="10"/>
            <color indexed="8"/>
            <rFont val="Times New Roman"/>
            <family val="1"/>
          </rPr>
          <t xml:space="preserve"> frontline-pcb:
</t>
        </r>
        <r>
          <rPr>
            <sz val="10"/>
            <color indexed="8"/>
            <rFont val="Times New Roman"/>
            <family val="1"/>
          </rPr>
          <t>This field should contain the material cost for 1 unit
Giá vật liệu trên 1 đơn vị</t>
        </r>
      </text>
    </comment>
    <comment ref="CJ1" authorId="0" shapeId="0">
      <text>
        <r>
          <rPr>
            <b/>
            <sz val="10"/>
            <color indexed="8"/>
            <rFont val="Times New Roman"/>
            <family val="1"/>
          </rPr>
          <t xml:space="preserve"> frontline-pcb:
</t>
        </r>
        <r>
          <rPr>
            <sz val="10"/>
            <color indexed="8"/>
            <rFont val="Times New Roman"/>
            <family val="1"/>
          </rPr>
          <t>This field should contain the material preference. The preference will be considered for choosing this materialwhile running automatic stackup. 
Possible values here should be an integer  number between 0 and 100 . 
Thứ tự ưu tiên của VL khi chạy stack-up tự động
100 là thường sử dụng nhất
3(90-100); 2(70-80); 1(40-60); 0(10-30)</t>
        </r>
      </text>
    </comment>
    <comment ref="CK1" authorId="4" shapeId="0">
      <text>
        <r>
          <rPr>
            <b/>
            <sz val="8"/>
            <color indexed="81"/>
            <rFont val="Tahoma"/>
            <family val="2"/>
          </rPr>
          <t xml:space="preserve">FLS:
</t>
        </r>
        <r>
          <rPr>
            <sz val="8"/>
            <color indexed="81"/>
            <rFont val="Tahoma"/>
            <family val="2"/>
          </rPr>
          <t xml:space="preserve">Copper Foil Type Loại lá đồng (xem comment)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CL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CM1" authorId="4" shapeId="0">
      <text>
        <r>
          <rPr>
            <b/>
            <sz val="9"/>
            <color indexed="81"/>
            <rFont val="Tahoma"/>
            <family val="2"/>
          </rPr>
          <t>FLS:</t>
        </r>
        <r>
          <rPr>
            <sz val="9"/>
            <color indexed="81"/>
            <rFont val="Tahoma"/>
            <family val="2"/>
          </rPr>
          <t xml:space="preserve">
This is the roughness of the "outer" (top or  exposed) surface of the foil.
The value should be expressed as a length (mils/micron) by RMS</t>
        </r>
      </text>
    </comment>
    <comment ref="CN1" authorId="4" shapeId="0">
      <text>
        <r>
          <rPr>
            <b/>
            <sz val="9"/>
            <color indexed="81"/>
            <rFont val="Tahoma"/>
            <family val="2"/>
          </rPr>
          <t>FLS:</t>
        </r>
        <r>
          <rPr>
            <sz val="9"/>
            <color indexed="81"/>
            <rFont val="Tahoma"/>
            <family val="2"/>
          </rPr>
          <t xml:space="preserve">
This is the roughness of the "inner" (bottom) surface of the foil.  (The surface that will be laminated against the prepreg.)
The value should be expressed as a length (mils/micron) by RMS
Độ nhám mặt trong (lá đồng lớp trên), mặt tiếp xúc với PP khí ép</t>
        </r>
      </text>
    </comment>
    <comment ref="CO1" authorId="4" shapeId="0">
      <text>
        <r>
          <rPr>
            <b/>
            <sz val="9"/>
            <color indexed="81"/>
            <rFont val="Tahoma"/>
            <family val="2"/>
          </rPr>
          <t>FLS:</t>
        </r>
        <r>
          <rPr>
            <sz val="9"/>
            <color indexed="81"/>
            <rFont val="Tahoma"/>
            <family val="2"/>
          </rPr>
          <t xml:space="preserve">
This is the roughness of the "outer" (top or  exposed) surface of the foil.
The value should be expressed as a length (mils/micron) by RMS
Độ nhám của mặt ngoài đồng (lá đồng dưới) (mils/inch)</t>
        </r>
      </text>
    </comment>
    <comment ref="CP1" authorId="4" shapeId="0">
      <text>
        <r>
          <rPr>
            <b/>
            <sz val="9"/>
            <color indexed="81"/>
            <rFont val="Tahoma"/>
            <family val="2"/>
          </rPr>
          <t>FLS:</t>
        </r>
        <r>
          <rPr>
            <sz val="9"/>
            <color indexed="81"/>
            <rFont val="Tahoma"/>
            <family val="2"/>
          </rPr>
          <t xml:space="preserve">
This is the roughness of the "inner" (bottom) surface of the foil.  (The surface that will be laminated against the prepreg.)
The value should be expressed as a length (mils/micron) by RMS
Độ nhám mặt trong (lá đồng lớp dưới), mặt tiếp xúc với PP khí ép</t>
        </r>
      </text>
    </comment>
    <comment ref="CQ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False-lá đồng này đang có sẵn trong kho.
</t>
        </r>
        <r>
          <rPr>
            <b/>
            <sz val="10"/>
            <color indexed="8"/>
            <rFont val="Times New Roman"/>
            <family val="1"/>
          </rPr>
          <t>true</t>
        </r>
        <r>
          <rPr>
            <sz val="10"/>
            <color indexed="8"/>
            <rFont val="Times New Roman"/>
            <family val="1"/>
          </rPr>
          <t>- The material is not availble for the stackup 
True-vật liệu không có sẵn trong kho.</t>
        </r>
      </text>
    </comment>
    <comment ref="CS1" authorId="4"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CV1" authorId="0" shapeId="0">
      <text>
        <r>
          <rPr>
            <b/>
            <sz val="10"/>
            <color indexed="8"/>
            <rFont val="Times New Roman"/>
            <family val="1"/>
          </rPr>
          <t xml:space="preserve"> frontline-pcb:
</t>
        </r>
        <r>
          <rPr>
            <sz val="10"/>
            <color indexed="8"/>
            <rFont val="Times New Roman"/>
            <family val="1"/>
          </rPr>
          <t xml:space="preserve">This field should contain the laminate thickness . 
Calculate the laminate thickness
  &lt; 7 means in mm
  &lt; 1 means in inch
</t>
        </r>
      </text>
    </comment>
    <comment ref="CW1" authorId="1" shapeId="0">
      <text>
        <r>
          <rPr>
            <b/>
            <sz val="9"/>
            <color indexed="81"/>
            <rFont val="Tahoma"/>
            <family val="2"/>
          </rPr>
          <t>charlie:</t>
        </r>
        <r>
          <rPr>
            <sz val="9"/>
            <color indexed="81"/>
            <rFont val="Tahoma"/>
            <family val="2"/>
          </rPr>
          <t xml:space="preserve">
The thickness which will affect DK value
For Core = Laminate Thickness
</t>
        </r>
      </text>
    </comment>
    <comment ref="CX1" authorId="2" shapeId="0">
      <text>
        <r>
          <rPr>
            <b/>
            <sz val="9"/>
            <color indexed="81"/>
            <rFont val="Tahoma"/>
            <family val="2"/>
          </rPr>
          <t>Charlie Huang:</t>
        </r>
        <r>
          <rPr>
            <sz val="9"/>
            <color indexed="81"/>
            <rFont val="Tahoma"/>
            <family val="2"/>
          </rPr>
          <t xml:space="preserve">
Covert the LAMINATE_THICKNESS to mic, it will be easy to set the Tolerance based on the IPC Class
  If in Metri, THK &lt; 7 means the value is in mm, otherwise in Micron
  If in Imperial, THK &lt; 1 means the value is in inch, otherwise in mil
</t>
        </r>
      </text>
    </comment>
    <comment ref="CY1" authorId="2" shapeId="0">
      <text>
        <r>
          <rPr>
            <b/>
            <sz val="9"/>
            <color indexed="81"/>
            <rFont val="Tahoma"/>
            <family val="2"/>
          </rPr>
          <t>Charlie Huang:</t>
        </r>
        <r>
          <rPr>
            <sz val="9"/>
            <color indexed="81"/>
            <rFont val="Tahoma"/>
            <family val="2"/>
          </rPr>
          <t xml:space="preserve">
The the IPC min thickness</t>
        </r>
      </text>
    </comment>
    <comment ref="CZ1" authorId="2" shapeId="0">
      <text>
        <r>
          <rPr>
            <b/>
            <sz val="9"/>
            <color indexed="81"/>
            <rFont val="Tahoma"/>
            <family val="2"/>
          </rPr>
          <t>Charlie Huang:</t>
        </r>
        <r>
          <rPr>
            <sz val="9"/>
            <color indexed="81"/>
            <rFont val="Tahoma"/>
            <family val="2"/>
          </rPr>
          <t xml:space="preserve">
Get the Tolerance from the IPC table
</t>
        </r>
      </text>
    </comment>
    <comment ref="DB1" authorId="0" shapeId="0">
      <text>
        <r>
          <rPr>
            <b/>
            <sz val="10"/>
            <color indexed="8"/>
            <rFont val="Times New Roman"/>
            <family val="1"/>
          </rPr>
          <t xml:space="preserve"> frontline-pcb:
</t>
        </r>
        <r>
          <rPr>
            <sz val="10"/>
            <color indexed="8"/>
            <rFont val="Times New Roman"/>
            <family val="1"/>
          </rPr>
          <t xml:space="preserve">This field should contain the laminate thickness tolerance +. 
Before running the macro please make sure that the configuration of the units in "units_translation" sheet  is correct for that field
Get the Tolerance from the IPC table
</t>
        </r>
      </text>
    </comment>
    <comment ref="DC1" authorId="0" shapeId="0">
      <text>
        <r>
          <rPr>
            <b/>
            <sz val="10"/>
            <color indexed="8"/>
            <rFont val="Times New Roman"/>
            <family val="1"/>
          </rPr>
          <t xml:space="preserve"> frontline-pcb:
</t>
        </r>
        <r>
          <rPr>
            <sz val="10"/>
            <color indexed="8"/>
            <rFont val="Times New Roman"/>
            <family val="1"/>
          </rPr>
          <t>This field should contain the laminate thickness tolerance -. 
Before running the macro please make sure that the configuration of the units in "units_translation" sheet  is correct for that field</t>
        </r>
      </text>
    </comment>
    <comment ref="DD1" authorId="0" shapeId="0">
      <text>
        <r>
          <rPr>
            <b/>
            <sz val="10"/>
            <color indexed="8"/>
            <rFont val="Times New Roman"/>
            <family val="1"/>
          </rPr>
          <t xml:space="preserve"> frontline-pcb:
</t>
        </r>
        <r>
          <rPr>
            <sz val="10"/>
            <color indexed="8"/>
            <rFont val="Times New Roman"/>
            <family val="1"/>
          </rPr>
          <t xml:space="preserve">This field should contain the laminate permittivity . 
Default is set to 1GHz
</t>
        </r>
      </text>
    </comment>
    <comment ref="DE1" authorId="0" shapeId="0">
      <text>
        <r>
          <rPr>
            <b/>
            <sz val="10"/>
            <color indexed="8"/>
            <rFont val="Times New Roman"/>
            <family val="1"/>
          </rPr>
          <t xml:space="preserve">frontline-pcb:
</t>
        </r>
        <r>
          <rPr>
            <sz val="10"/>
            <color indexed="8"/>
            <rFont val="Times New Roman"/>
            <family val="1"/>
          </rPr>
          <t xml:space="preserve">This field should contain the laminate dissipation factor for calculating Attenuation. 
</t>
        </r>
      </text>
    </comment>
    <comment ref="DF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
Set the X size as Grain Direction Size</t>
        </r>
      </text>
    </comment>
    <comment ref="DG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DH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DI1" authorId="0" shapeId="0">
      <text>
        <r>
          <rPr>
            <b/>
            <sz val="10"/>
            <color indexed="8"/>
            <rFont val="Times New Roman"/>
            <family val="1"/>
          </rPr>
          <t xml:space="preserve"> frontline-pcb:
</t>
        </r>
        <r>
          <rPr>
            <sz val="10"/>
            <color indexed="8"/>
            <rFont val="Times New Roman"/>
            <family val="1"/>
          </rPr>
          <t>This field should contain the top foil thickness .
Before running the macro please make sure that the configuration of the units in "units_translation" sheet  is correct for that field</t>
        </r>
      </text>
    </comment>
    <comment ref="DJ1" authorId="0" shapeId="0">
      <text>
        <r>
          <rPr>
            <b/>
            <sz val="10"/>
            <color indexed="8"/>
            <rFont val="Times New Roman"/>
            <family val="1"/>
          </rPr>
          <t xml:space="preserve"> frontline-pcb:
</t>
        </r>
        <r>
          <rPr>
            <sz val="10"/>
            <color indexed="8"/>
            <rFont val="Times New Roman"/>
            <family val="1"/>
          </rPr>
          <t>This field should contain the top foil thickness tolerance 
Before running the macro please make sure that the configuration of the units in "units_translation" sheet  is correct for that field
Dung sai dương độ dày lá đồng trên</t>
        </r>
      </text>
    </comment>
    <comment ref="DK1" authorId="0" shapeId="0">
      <text>
        <r>
          <rPr>
            <b/>
            <sz val="10"/>
            <color indexed="8"/>
            <rFont val="Times New Roman"/>
            <family val="1"/>
          </rPr>
          <t xml:space="preserve"> frontline-pcb:
</t>
        </r>
        <r>
          <rPr>
            <sz val="10"/>
            <color indexed="8"/>
            <rFont val="Times New Roman"/>
            <family val="1"/>
          </rPr>
          <t>This field should contain the top foil thickness tolerance
Before running the macro please make sure that the configuration of the units in "units_translation" sheet  is correct for that field</t>
        </r>
      </text>
    </comment>
    <comment ref="DL1" authorId="0" shapeId="0">
      <text>
        <r>
          <rPr>
            <b/>
            <sz val="10"/>
            <color indexed="8"/>
            <rFont val="Times New Roman"/>
            <family val="1"/>
          </rPr>
          <t xml:space="preserve"> frontline-pcb:
</t>
        </r>
        <r>
          <rPr>
            <sz val="10"/>
            <color indexed="8"/>
            <rFont val="Times New Roman"/>
            <family val="1"/>
          </rPr>
          <t>This field should contain the Bottom foil thickness . 
Before running the macro please make sure that the configuration of the units in "units_translation" sheet  is correct for that field</t>
        </r>
      </text>
    </comment>
    <comment ref="DM1" authorId="0" shapeId="0">
      <text>
        <r>
          <rPr>
            <b/>
            <sz val="10"/>
            <color indexed="8"/>
            <rFont val="Times New Roman"/>
            <family val="1"/>
          </rPr>
          <t xml:space="preserve"> frontline-pcb:
</t>
        </r>
        <r>
          <rPr>
            <sz val="10"/>
            <color indexed="8"/>
            <rFont val="Times New Roman"/>
            <family val="1"/>
          </rPr>
          <t>This field should contain the bottom foil thickness tolerance.
Before running the macro please make sure that the configuration of the units in "units_translation" sheet  is correct for that field</t>
        </r>
      </text>
    </comment>
    <comment ref="DN1" authorId="0" shapeId="0">
      <text>
        <r>
          <rPr>
            <b/>
            <sz val="10"/>
            <color indexed="8"/>
            <rFont val="Times New Roman"/>
            <family val="1"/>
          </rPr>
          <t xml:space="preserve"> frontline-pcb:
</t>
        </r>
        <r>
          <rPr>
            <sz val="10"/>
            <color indexed="8"/>
            <rFont val="Times New Roman"/>
            <family val="1"/>
          </rPr>
          <t xml:space="preserve">This field should contain the bottom foil thickness tolerance.
Before running the macro please make sure that the configuration of the units in "units_translation" sheet  is correct for that field
</t>
        </r>
      </text>
    </comment>
    <comment ref="DO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DP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DQ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 ref="CV114" authorId="5" shapeId="0">
      <text>
        <r>
          <rPr>
            <sz val="9"/>
            <color indexed="81"/>
            <rFont val="Tahoma"/>
            <family val="2"/>
          </rPr>
          <t xml:space="preserve">Độ dày không bao gồm đồng theo báo giá nhà cung cấp
</t>
        </r>
      </text>
    </comment>
    <comment ref="CV125" authorId="5" shapeId="0">
      <text>
        <r>
          <rPr>
            <sz val="9"/>
            <color indexed="81"/>
            <rFont val="Tahoma"/>
            <family val="2"/>
          </rPr>
          <t xml:space="preserve">Độ dày không bao gồm đồng theo báo giá nhà cung cấp
</t>
        </r>
      </text>
    </comment>
    <comment ref="CV126" authorId="5" shapeId="0">
      <text>
        <r>
          <rPr>
            <sz val="9"/>
            <color indexed="81"/>
            <rFont val="Tahoma"/>
            <family val="2"/>
          </rPr>
          <t xml:space="preserve">Độ dày không bao gồm đồng theo báo giá nhà cung cấp
</t>
        </r>
      </text>
    </comment>
    <comment ref="CV315" authorId="5" shapeId="0">
      <text>
        <r>
          <rPr>
            <sz val="9"/>
            <color indexed="81"/>
            <rFont val="Tahoma"/>
            <family val="2"/>
          </rPr>
          <t>Độ dày không bao gồm đồng theo yêu cầu của Mr.Chiến PD2 và Mr.Chiến đã xác nhận với nhà cung cấp sử dụng 2116*8ply</t>
        </r>
      </text>
    </comment>
    <comment ref="I628" authorId="5" shapeId="0">
      <text>
        <r>
          <rPr>
            <b/>
            <sz val="9"/>
            <color indexed="81"/>
            <rFont val="Tahoma"/>
            <family val="2"/>
          </rPr>
          <t>20 mil</t>
        </r>
        <r>
          <rPr>
            <sz val="9"/>
            <color indexed="81"/>
            <rFont val="Tahoma"/>
            <family val="2"/>
          </rPr>
          <t xml:space="preserve">
</t>
        </r>
      </text>
    </comment>
    <comment ref="I630" authorId="5" shapeId="0">
      <text>
        <r>
          <rPr>
            <b/>
            <sz val="9"/>
            <color indexed="81"/>
            <rFont val="Tahoma"/>
            <family val="2"/>
          </rPr>
          <t>21 mil</t>
        </r>
      </text>
    </comment>
    <comment ref="I633" authorId="5" shapeId="0">
      <text>
        <r>
          <rPr>
            <b/>
            <sz val="9"/>
            <color indexed="81"/>
            <rFont val="Tahoma"/>
            <family val="2"/>
          </rPr>
          <t>22 mil</t>
        </r>
        <r>
          <rPr>
            <sz val="9"/>
            <color indexed="81"/>
            <rFont val="Tahoma"/>
            <family val="2"/>
          </rPr>
          <t xml:space="preserve">
</t>
        </r>
      </text>
    </comment>
    <comment ref="I687" authorId="5" shapeId="0">
      <text>
        <r>
          <rPr>
            <b/>
            <sz val="9"/>
            <color indexed="81"/>
            <rFont val="Tahoma"/>
            <family val="2"/>
          </rPr>
          <t>43mil</t>
        </r>
        <r>
          <rPr>
            <sz val="9"/>
            <color indexed="81"/>
            <rFont val="Tahoma"/>
            <family val="2"/>
          </rPr>
          <t xml:space="preserve">
</t>
        </r>
      </text>
    </comment>
    <comment ref="I701" authorId="5" shapeId="0">
      <text>
        <r>
          <rPr>
            <b/>
            <sz val="9"/>
            <color indexed="81"/>
            <rFont val="Tahoma"/>
            <family val="2"/>
          </rPr>
          <t>32mil</t>
        </r>
        <r>
          <rPr>
            <sz val="9"/>
            <color indexed="81"/>
            <rFont val="Tahoma"/>
            <family val="2"/>
          </rPr>
          <t xml:space="preserve">
</t>
        </r>
      </text>
    </comment>
    <comment ref="I1027" authorId="5" shapeId="0">
      <text>
        <r>
          <rPr>
            <b/>
            <sz val="9"/>
            <color indexed="81"/>
            <rFont val="Tahoma"/>
            <family val="2"/>
          </rPr>
          <t>51mil</t>
        </r>
        <r>
          <rPr>
            <sz val="9"/>
            <color indexed="81"/>
            <rFont val="Tahoma"/>
            <family val="2"/>
          </rPr>
          <t xml:space="preserve">
</t>
        </r>
      </text>
    </comment>
    <comment ref="CV1174" authorId="5" shapeId="0">
      <text>
        <r>
          <rPr>
            <sz val="9"/>
            <color indexed="81"/>
            <rFont val="Tahoma"/>
            <family val="2"/>
          </rPr>
          <t xml:space="preserve">Độ dày không bao gồm đồng theo báo giá nhà cung cấp
</t>
        </r>
      </text>
    </comment>
    <comment ref="CY1182" authorId="5" shapeId="0">
      <text>
        <r>
          <rPr>
            <sz val="9"/>
            <color indexed="81"/>
            <rFont val="Tahoma"/>
            <family val="2"/>
          </rPr>
          <t>Bắt đầu thêm với trường hợp độ dày core lớn hơn 1.675 theo bảng IPC Core Tolerance (sheet CuWtTrans)-20220826</t>
        </r>
      </text>
    </comment>
    <comment ref="CV1186" authorId="5" shapeId="0">
      <text>
        <r>
          <rPr>
            <sz val="9"/>
            <color indexed="81"/>
            <rFont val="Tahoma"/>
            <family val="2"/>
          </rPr>
          <t>Độ dày không bao gồm đồng theo yêu cầu của Mr.Chiến PD2 và Mr.Chiến đã xác nhận với nhà cung cấp sử dụng 2116*8ply</t>
        </r>
      </text>
    </comment>
    <comment ref="CV1277" authorId="5" shapeId="0">
      <text>
        <r>
          <rPr>
            <sz val="9"/>
            <color indexed="81"/>
            <rFont val="Tahoma"/>
            <family val="2"/>
          </rPr>
          <t xml:space="preserve">Độ dày ≧ 0.8mm là độ dày đã bao gồm đồng. Theo nội dung Notes trong tài liệu NP-155F CORE DK&amp;DF_220527.pdf
</t>
        </r>
      </text>
    </comment>
    <comment ref="J1610" authorId="5" shapeId="0">
      <text>
        <r>
          <rPr>
            <b/>
            <sz val="9"/>
            <color indexed="81"/>
            <rFont val="Tahoma"/>
            <family val="2"/>
          </rPr>
          <t>1.6mm=0.059"</t>
        </r>
      </text>
    </comment>
    <comment ref="J1614" authorId="5" shapeId="0">
      <text>
        <r>
          <rPr>
            <b/>
            <sz val="9"/>
            <color indexed="81"/>
            <rFont val="Tahoma"/>
            <family val="2"/>
          </rPr>
          <t>1.6mm=0.062"</t>
        </r>
      </text>
    </comment>
    <comment ref="I1620" authorId="5" shapeId="0">
      <text>
        <r>
          <rPr>
            <b/>
            <sz val="9"/>
            <color indexed="81"/>
            <rFont val="Tahoma"/>
            <family val="2"/>
          </rPr>
          <t>14 mil</t>
        </r>
        <r>
          <rPr>
            <sz val="9"/>
            <color indexed="81"/>
            <rFont val="Tahoma"/>
            <family val="2"/>
          </rPr>
          <t xml:space="preserve">
</t>
        </r>
      </text>
    </comment>
  </commentList>
</comments>
</file>

<file path=xl/comments5.xml><?xml version="1.0" encoding="utf-8"?>
<comments xmlns="http://schemas.openxmlformats.org/spreadsheetml/2006/main">
  <authors>
    <author>Windows User</author>
    <author>charlie</author>
    <author>Steve Packard</author>
    <author>meiko</author>
    <author>Charlie Huang</author>
    <author/>
  </authors>
  <commentList>
    <comment ref="C1" authorId="0" shapeId="0">
      <text>
        <r>
          <rPr>
            <sz val="9"/>
            <color indexed="81"/>
            <rFont val="Tahoma"/>
            <family val="2"/>
          </rPr>
          <t xml:space="preserve">If two items get same material name, the value will be Dupe and not be output to xml file.
</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H1" authorId="2" shapeId="0">
      <text>
        <r>
          <rPr>
            <b/>
            <sz val="8"/>
            <color indexed="81"/>
            <rFont val="Tahoma"/>
            <family val="2"/>
          </rPr>
          <t>FLS:</t>
        </r>
        <r>
          <rPr>
            <sz val="8"/>
            <color indexed="81"/>
            <rFont val="Tahoma"/>
            <family val="2"/>
          </rPr>
          <t xml:space="preserve">
Examples:
106
1080
2113
</t>
        </r>
      </text>
    </comment>
    <comment ref="J1" authorId="3" shapeId="0">
      <text>
        <r>
          <rPr>
            <b/>
            <sz val="9"/>
            <color indexed="81"/>
            <rFont val="Tahoma"/>
            <family val="2"/>
          </rPr>
          <t>meiko:</t>
        </r>
        <r>
          <rPr>
            <sz val="9"/>
            <color indexed="81"/>
            <rFont val="Tahoma"/>
            <family val="2"/>
          </rPr>
          <t xml:space="preserve">
Độ dày thực tế
Thickness before pressing
Giá trị độ dày thực tế trong cataloge marker cung cấp</t>
        </r>
      </text>
    </comment>
    <comment ref="K1" authorId="3" shapeId="0">
      <text>
        <r>
          <rPr>
            <b/>
            <sz val="9"/>
            <color indexed="81"/>
            <rFont val="Tahoma"/>
            <family val="2"/>
          </rPr>
          <t>meiko:</t>
        </r>
        <r>
          <rPr>
            <sz val="9"/>
            <color indexed="81"/>
            <rFont val="Tahoma"/>
            <family val="2"/>
          </rPr>
          <t xml:space="preserve">
Độ dày thực tế (Tính theo MKVC)
Thickness before pressing
A(µm) = X1/2.54+X2/Y
X1: Trọng lượng sợi thủy tinh. 
Y: Mật độ nhựa (g/cm3)
X2(g/m3) =100*X1*Z/ (100-Z*100)
Z: RESIN_PERCENTAGE</t>
        </r>
      </text>
    </comment>
    <comment ref="L1" authorId="0" shapeId="0">
      <text>
        <r>
          <rPr>
            <b/>
            <sz val="9"/>
            <color indexed="81"/>
            <rFont val="Tahoma"/>
            <family val="2"/>
          </rPr>
          <t>get from the purchasing system</t>
        </r>
        <r>
          <rPr>
            <sz val="9"/>
            <color indexed="81"/>
            <rFont val="Tahoma"/>
            <family val="2"/>
          </rPr>
          <t xml:space="preserve">
</t>
        </r>
      </text>
    </comment>
    <comment ref="M1" authorId="0" shapeId="0">
      <text>
        <r>
          <rPr>
            <b/>
            <sz val="9"/>
            <color indexed="81"/>
            <rFont val="Tahoma"/>
            <family val="2"/>
          </rPr>
          <t>Cấp độ ưa chuộm
0
1
2
3</t>
        </r>
      </text>
    </comment>
    <comment ref="N1" authorId="0" shapeId="0">
      <text>
        <r>
          <rPr>
            <b/>
            <sz val="9"/>
            <color indexed="81"/>
            <rFont val="Tahoma"/>
            <family val="2"/>
          </rPr>
          <t>MLB
HDI
HDI/MLB</t>
        </r>
        <r>
          <rPr>
            <sz val="9"/>
            <color indexed="81"/>
            <rFont val="Tahoma"/>
            <family val="2"/>
          </rPr>
          <t xml:space="preserve">
ANY</t>
        </r>
      </text>
    </comment>
    <comment ref="P1" authorId="0" shapeId="0">
      <text>
        <r>
          <rPr>
            <sz val="9"/>
            <color indexed="81"/>
            <rFont val="Tahoma"/>
            <family val="2"/>
          </rPr>
          <t xml:space="preserve">not in use now
</t>
        </r>
      </text>
    </comment>
    <comment ref="Q1" authorId="0" shapeId="0">
      <text>
        <r>
          <rPr>
            <b/>
            <sz val="9"/>
            <color indexed="81"/>
            <rFont val="Tahoma"/>
            <family val="2"/>
          </rPr>
          <t>Not in use</t>
        </r>
        <r>
          <rPr>
            <sz val="9"/>
            <color indexed="81"/>
            <rFont val="Tahoma"/>
            <family val="2"/>
          </rPr>
          <t xml:space="preserve">
</t>
        </r>
      </text>
    </comment>
    <comment ref="R1" authorId="3" shapeId="0">
      <text>
        <r>
          <rPr>
            <sz val="9"/>
            <color indexed="81"/>
            <rFont val="Tahoma"/>
            <family val="2"/>
          </rPr>
          <t>Lấy theo Phương pháp đo DSC</t>
        </r>
      </text>
    </comment>
    <comment ref="S1" authorId="3" shapeId="0">
      <text>
        <r>
          <rPr>
            <sz val="9"/>
            <color indexed="81"/>
            <rFont val="Tahoma"/>
            <family val="2"/>
          </rPr>
          <t xml:space="preserve">Lấy theo Phương pháp đo DSC
</t>
        </r>
      </text>
    </comment>
    <comment ref="U1" authorId="2" shapeId="0">
      <text>
        <r>
          <rPr>
            <b/>
            <sz val="8"/>
            <color indexed="81"/>
            <rFont val="Tahoma"/>
            <family val="2"/>
          </rPr>
          <t>FLS:</t>
        </r>
        <r>
          <rPr>
            <sz val="8"/>
            <color indexed="81"/>
            <rFont val="Tahoma"/>
            <family val="2"/>
          </rPr>
          <t xml:space="preserve">
Valid values are:
High Flow
Low Flow
No Flow
</t>
        </r>
      </text>
    </comment>
    <comment ref="V1" authorId="4" shapeId="0">
      <text>
        <r>
          <rPr>
            <b/>
            <sz val="9"/>
            <color indexed="81"/>
            <rFont val="Tahoma"/>
            <family val="2"/>
          </rPr>
          <t>Charlie Huang:</t>
        </r>
        <r>
          <rPr>
            <sz val="9"/>
            <color indexed="81"/>
            <rFont val="Tahoma"/>
            <family val="2"/>
          </rPr>
          <t xml:space="preserve">
Material thickness tolerance will be set based on the class type
</t>
        </r>
      </text>
    </comment>
    <comment ref="Y1" authorId="2" shapeId="0">
      <text>
        <r>
          <rPr>
            <b/>
            <sz val="8"/>
            <color indexed="81"/>
            <rFont val="Tahoma"/>
            <family val="2"/>
          </rPr>
          <t xml:space="preserve">FLS:
</t>
        </r>
        <r>
          <rPr>
            <sz val="8"/>
            <color indexed="81"/>
            <rFont val="Tahoma"/>
            <family val="2"/>
          </rPr>
          <t xml:space="preserve">
As defined in the Description field</t>
        </r>
      </text>
    </comment>
    <comment ref="BH1" authorId="1" shapeId="0">
      <text>
        <r>
          <rPr>
            <b/>
            <sz val="9"/>
            <color indexed="81"/>
            <rFont val="Tahoma"/>
            <family val="2"/>
          </rPr>
          <t>FLS:</t>
        </r>
        <r>
          <rPr>
            <sz val="9"/>
            <color indexed="81"/>
            <rFont val="Tahoma"/>
            <family val="2"/>
          </rPr>
          <t xml:space="preserve">
Halogen Free Compliant</t>
        </r>
      </text>
    </comment>
    <comment ref="BI1" authorId="1" shapeId="0">
      <text>
        <r>
          <rPr>
            <b/>
            <sz val="9"/>
            <color indexed="81"/>
            <rFont val="Tahoma"/>
            <family val="2"/>
          </rPr>
          <t>FLS:</t>
        </r>
        <r>
          <rPr>
            <sz val="9"/>
            <color indexed="81"/>
            <rFont val="Tahoma"/>
            <family val="2"/>
          </rPr>
          <t xml:space="preserve">
RoHS Compliant</t>
        </r>
      </text>
    </comment>
    <comment ref="BJ1" authorId="1" shapeId="0">
      <text>
        <r>
          <rPr>
            <b/>
            <sz val="9"/>
            <color indexed="81"/>
            <rFont val="Tahoma"/>
            <family val="2"/>
          </rPr>
          <t>FLS:</t>
        </r>
        <r>
          <rPr>
            <sz val="9"/>
            <color indexed="81"/>
            <rFont val="Tahoma"/>
            <family val="2"/>
          </rPr>
          <t xml:space="preserve">
Low DK Material
  DK &lt; 3.67</t>
        </r>
      </text>
    </comment>
    <comment ref="BK1" authorId="1" shapeId="0">
      <text>
        <r>
          <rPr>
            <b/>
            <sz val="9"/>
            <color indexed="81"/>
            <rFont val="Tahoma"/>
            <family val="2"/>
          </rPr>
          <t>FLS:</t>
        </r>
        <r>
          <rPr>
            <sz val="9"/>
            <color indexed="81"/>
            <rFont val="Tahoma"/>
            <family val="2"/>
          </rPr>
          <t xml:space="preserve">
Is Low DF Material
  DF &lt; 0.0125</t>
        </r>
      </text>
    </comment>
    <comment ref="BU1" authorId="2" shapeId="0">
      <text>
        <r>
          <rPr>
            <b/>
            <sz val="9"/>
            <color indexed="81"/>
            <rFont val="Tahoma"/>
            <family val="2"/>
          </rPr>
          <t>Steve Packard:</t>
        </r>
        <r>
          <rPr>
            <sz val="9"/>
            <color indexed="81"/>
            <rFont val="Tahoma"/>
            <family val="2"/>
          </rPr>
          <t xml:space="preserve">
Fabric types available include:
EG : Standard E-glass
SW : Square weave
SG : Spread glass
</t>
        </r>
      </text>
    </comment>
    <comment ref="BV1" authorId="2" shapeId="0">
      <text>
        <r>
          <rPr>
            <b/>
            <sz val="9"/>
            <color indexed="81"/>
            <rFont val="Tahoma"/>
            <family val="2"/>
          </rPr>
          <t>Steve Packard:</t>
        </r>
        <r>
          <rPr>
            <sz val="9"/>
            <color indexed="81"/>
            <rFont val="Tahoma"/>
            <family val="2"/>
          </rPr>
          <t xml:space="preserve">
NA = North America
AP = Asia/Pacific
EU = Europe
</t>
        </r>
      </text>
    </comment>
    <comment ref="BX1" authorId="4" shapeId="0">
      <text>
        <r>
          <rPr>
            <b/>
            <sz val="9"/>
            <color indexed="81"/>
            <rFont val="Tahoma"/>
            <family val="2"/>
          </rPr>
          <t>Charlie Huang:</t>
        </r>
        <r>
          <rPr>
            <sz val="9"/>
            <color indexed="81"/>
            <rFont val="Tahoma"/>
            <family val="2"/>
          </rPr>
          <t xml:space="preserve">
Remark the Data Come from
up to 100 chars</t>
        </r>
      </text>
    </comment>
    <comment ref="BZ1" authorId="3" shapeId="0">
      <text>
        <r>
          <rPr>
            <b/>
            <sz val="9"/>
            <color indexed="81"/>
            <rFont val="Tahoma"/>
            <family val="2"/>
          </rPr>
          <t>meiko:</t>
        </r>
        <r>
          <rPr>
            <sz val="9"/>
            <color indexed="81"/>
            <rFont val="Tahoma"/>
            <family val="2"/>
          </rPr>
          <t xml:space="preserve">
Mức độ phổ biến của vật liệu từ 0 đến 100.
100 là thường sử dụng nhất
3(90-100); 2(70-80); 1(40-60); 0(10-30)
ForStackup:C_Stackup_Pre_1_LoopStackupSeg</t>
        </r>
      </text>
    </comment>
    <comment ref="CC1" authorId="1" shapeId="0">
      <text>
        <r>
          <rPr>
            <b/>
            <sz val="9"/>
            <color indexed="81"/>
            <rFont val="Tahoma"/>
            <family val="2"/>
          </rPr>
          <t>charlie:</t>
        </r>
        <r>
          <rPr>
            <sz val="9"/>
            <color indexed="81"/>
            <rFont val="Tahoma"/>
            <family val="2"/>
          </rPr>
          <t xml:space="preserve">
The thickness which will affect DK value
For Prepreg = Resin + Glass Thickness</t>
        </r>
      </text>
    </comment>
    <comment ref="CD1" authorId="4" shapeId="0">
      <text>
        <r>
          <rPr>
            <b/>
            <sz val="9"/>
            <color indexed="81"/>
            <rFont val="Tahoma"/>
            <family val="2"/>
          </rPr>
          <t>Charlie Huang:</t>
        </r>
        <r>
          <rPr>
            <sz val="9"/>
            <color indexed="81"/>
            <rFont val="Tahoma"/>
            <family val="2"/>
          </rPr>
          <t xml:space="preserve">
Covert the LAMINATE_THICKNESS to mic, it will be easy to set the Tolerance based on the IPC Class
  If in Metri, THK &lt; 7 means the value is in mm, otherwise in Micron
  If in Imperial, THK &lt; 1 means the value is in inch, otherwise in mil
</t>
        </r>
      </text>
    </comment>
    <comment ref="CE1" authorId="4" shapeId="0">
      <text>
        <r>
          <rPr>
            <b/>
            <sz val="9"/>
            <color indexed="81"/>
            <rFont val="Tahoma"/>
            <family val="2"/>
          </rPr>
          <t>Charlie Huang:</t>
        </r>
        <r>
          <rPr>
            <sz val="9"/>
            <color indexed="81"/>
            <rFont val="Tahoma"/>
            <family val="2"/>
          </rPr>
          <t xml:space="preserve">
The the IPC min thickness</t>
        </r>
      </text>
    </comment>
    <comment ref="CF1" authorId="4" shapeId="0">
      <text>
        <r>
          <rPr>
            <b/>
            <sz val="9"/>
            <color indexed="81"/>
            <rFont val="Tahoma"/>
            <family val="2"/>
          </rPr>
          <t>Charlie Huang:</t>
        </r>
        <r>
          <rPr>
            <sz val="9"/>
            <color indexed="81"/>
            <rFont val="Tahoma"/>
            <family val="2"/>
          </rPr>
          <t xml:space="preserve">
Get the Tolerance from the IPC table
</t>
        </r>
      </text>
    </comment>
    <comment ref="CJ1" authorId="1" shapeId="0">
      <text>
        <r>
          <rPr>
            <b/>
            <sz val="9"/>
            <color indexed="81"/>
            <rFont val="Tahoma"/>
            <family val="2"/>
          </rPr>
          <t>FLS:</t>
        </r>
        <r>
          <rPr>
            <sz val="9"/>
            <color indexed="81"/>
            <rFont val="Tahoma"/>
            <family val="2"/>
          </rPr>
          <t xml:space="preserve">
Set defult to 1G Hz</t>
        </r>
      </text>
    </comment>
    <comment ref="CK1" authorId="1" shapeId="0">
      <text>
        <r>
          <rPr>
            <b/>
            <sz val="9"/>
            <color indexed="81"/>
            <rFont val="Tahoma"/>
            <family val="2"/>
          </rPr>
          <t>FLS:</t>
        </r>
        <r>
          <rPr>
            <sz val="9"/>
            <color indexed="81"/>
            <rFont val="Tahoma"/>
            <family val="2"/>
          </rPr>
          <t xml:space="preserve">
Set defult to 1G Hz</t>
        </r>
      </text>
    </comment>
    <comment ref="CL1" authorId="1" shapeId="0">
      <text>
        <r>
          <rPr>
            <b/>
            <sz val="9"/>
            <color indexed="81"/>
            <rFont val="Tahoma"/>
            <family val="2"/>
          </rPr>
          <t xml:space="preserve">FLS:
</t>
        </r>
        <r>
          <rPr>
            <sz val="9"/>
            <color indexed="81"/>
            <rFont val="Tahoma"/>
            <family val="2"/>
          </rPr>
          <t xml:space="preserve">
Set defult to 1G Hz</t>
        </r>
      </text>
    </comment>
    <comment ref="CM1" authorId="1" shapeId="0">
      <text>
        <r>
          <rPr>
            <b/>
            <sz val="9"/>
            <color indexed="81"/>
            <rFont val="Tahoma"/>
            <family val="2"/>
          </rPr>
          <t>FLS:</t>
        </r>
        <r>
          <rPr>
            <sz val="9"/>
            <color indexed="81"/>
            <rFont val="Tahoma"/>
            <family val="2"/>
          </rPr>
          <t xml:space="preserve">
Set defult to 1G Hz</t>
        </r>
      </text>
    </comment>
    <comment ref="CN1" authorId="5"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CO1" authorId="5"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CP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CS1" authorId="2" shapeId="0">
      <text>
        <r>
          <rPr>
            <b/>
            <sz val="8"/>
            <color indexed="81"/>
            <rFont val="Tahoma"/>
            <family val="2"/>
          </rPr>
          <t xml:space="preserve">FLS:
</t>
        </r>
        <r>
          <rPr>
            <sz val="8"/>
            <color indexed="81"/>
            <rFont val="Tahoma"/>
            <family val="2"/>
          </rPr>
          <t xml:space="preserve">
</t>
        </r>
        <r>
          <rPr>
            <sz val="10"/>
            <color indexed="81"/>
            <rFont val="Tahoma"/>
            <family val="2"/>
          </rPr>
          <t>The MRP Name field should be populated if you want to sync material data from InPlan/InStack to an ERP/MRP or Inventory system.</t>
        </r>
      </text>
    </comment>
    <comment ref="CU1" authorId="2" shapeId="0">
      <text>
        <r>
          <rPr>
            <b/>
            <sz val="8"/>
            <color indexed="81"/>
            <rFont val="Tahoma"/>
            <family val="2"/>
          </rPr>
          <t xml:space="preserve">FLS:
</t>
        </r>
        <r>
          <rPr>
            <sz val="8"/>
            <color indexed="81"/>
            <rFont val="Tahoma"/>
            <family val="2"/>
          </rPr>
          <t xml:space="preserve">
ERP MATERIAL DESC</t>
        </r>
      </text>
    </comment>
  </commentList>
</comments>
</file>

<file path=xl/comments6.xml><?xml version="1.0" encoding="utf-8"?>
<comments xmlns="http://schemas.openxmlformats.org/spreadsheetml/2006/main">
  <authors>
    <author/>
    <author>charlie</author>
    <author>Windows User</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 xml:space="preserve">This field should contain the family name of this material. 
It's important to make sure that the values entered here are part of the enum values for MATERIAL_FAMILY
</t>
        </r>
      </text>
    </comment>
    <comment ref="H1" authorId="0" shapeId="0">
      <text>
        <r>
          <rPr>
            <b/>
            <sz val="10"/>
            <color indexed="8"/>
            <rFont val="Times New Roman"/>
            <family val="1"/>
          </rPr>
          <t xml:space="preserve"> frontline-pcb:
</t>
        </r>
        <r>
          <rPr>
            <sz val="10"/>
            <color indexed="8"/>
            <rFont val="Times New Roman"/>
            <family val="1"/>
          </rPr>
          <t>This field should contain the  foil cupper weight. 
Before running the macro please make sure that the correct units are configured in sheets "Units_translation"</t>
        </r>
      </text>
    </comment>
    <comment ref="I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J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K1" authorId="2" shapeId="0">
      <text>
        <r>
          <rPr>
            <b/>
            <sz val="9"/>
            <color indexed="81"/>
            <rFont val="Tahoma"/>
            <family val="2"/>
          </rPr>
          <t>get from the purchasing system</t>
        </r>
        <r>
          <rPr>
            <sz val="9"/>
            <color indexed="81"/>
            <rFont val="Tahoma"/>
            <family val="2"/>
          </rPr>
          <t xml:space="preserve">
</t>
        </r>
      </text>
    </comment>
    <comment ref="L1" authorId="2" shapeId="0">
      <text>
        <r>
          <rPr>
            <b/>
            <sz val="9"/>
            <color indexed="81"/>
            <rFont val="Tahoma"/>
            <family val="2"/>
          </rPr>
          <t>0
1
2
3</t>
        </r>
      </text>
    </comment>
    <comment ref="M1" authorId="2" shapeId="0">
      <text>
        <r>
          <rPr>
            <b/>
            <sz val="9"/>
            <color indexed="81"/>
            <rFont val="Tahoma"/>
            <family val="2"/>
          </rPr>
          <t>MLB
HDI
HDI/MLB</t>
        </r>
        <r>
          <rPr>
            <sz val="9"/>
            <color indexed="81"/>
            <rFont val="Tahoma"/>
            <family val="2"/>
          </rPr>
          <t xml:space="preserve">
ANY</t>
        </r>
      </text>
    </comment>
    <comment ref="N1" authorId="2" shapeId="0">
      <text>
        <r>
          <rPr>
            <sz val="9"/>
            <color indexed="81"/>
            <rFont val="Tahoma"/>
            <family val="2"/>
          </rPr>
          <t xml:space="preserve">not in use now
</t>
        </r>
      </text>
    </comment>
    <comment ref="O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Q1" authorId="3"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R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S1" authorId="3"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T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V1" authorId="0" shapeId="0">
      <text>
        <r>
          <rPr>
            <b/>
            <sz val="10"/>
            <color indexed="8"/>
            <rFont val="Times New Roman"/>
            <family val="1"/>
          </rPr>
          <t xml:space="preserve"> frontline-pcb:
</t>
        </r>
        <r>
          <rPr>
            <sz val="10"/>
            <color indexed="8"/>
            <rFont val="Times New Roman"/>
            <family val="1"/>
          </rPr>
          <t>This field should contain the  foil thickness . 
Before running the macro please make sure that the configuration of the units in "units_translation" sheet  is correct for that field</t>
        </r>
      </text>
    </comment>
    <comment ref="W1" authorId="0" shapeId="0">
      <text>
        <r>
          <rPr>
            <b/>
            <sz val="10"/>
            <color indexed="8"/>
            <rFont val="Times New Roman"/>
            <family val="1"/>
          </rPr>
          <t xml:space="preserve"> frontline-pcb:
</t>
        </r>
        <r>
          <rPr>
            <sz val="10"/>
            <color indexed="8"/>
            <rFont val="Times New Roman"/>
            <family val="1"/>
          </rPr>
          <t>This field should contain the  foil thickness tol - . 
Before running the macro please make sure that the configuration of the units in "units_translation" sheet  is correct for that field</t>
        </r>
      </text>
    </comment>
    <comment ref="X1" authorId="0" shapeId="0">
      <text>
        <r>
          <rPr>
            <b/>
            <sz val="10"/>
            <color indexed="8"/>
            <rFont val="Times New Roman"/>
            <family val="1"/>
          </rPr>
          <t xml:space="preserve"> frontline-pcb:
</t>
        </r>
        <r>
          <rPr>
            <sz val="10"/>
            <color indexed="8"/>
            <rFont val="Times New Roman"/>
            <family val="1"/>
          </rPr>
          <t>This field should contain the  foil thickness tol +. 
Before running the macro please make sure that the configuration of the units in "units_translation" sheet  is correct for that field</t>
        </r>
      </text>
    </comment>
    <comment ref="Y1" authorId="3" shapeId="0">
      <text>
        <r>
          <rPr>
            <b/>
            <sz val="9"/>
            <color indexed="81"/>
            <rFont val="Tahoma"/>
            <family val="2"/>
          </rPr>
          <t xml:space="preserve">FLS:
</t>
        </r>
        <r>
          <rPr>
            <sz val="9"/>
            <color indexed="81"/>
            <rFont val="Tahoma"/>
            <family val="2"/>
          </rPr>
          <t xml:space="preserve">
This is the roughness of the "outer" (top or  exposed) surface of the foil.
The value should be expressed as a length (mils/micron) by RMS</t>
        </r>
      </text>
    </comment>
    <comment ref="Z1" authorId="3" shapeId="0">
      <text>
        <r>
          <rPr>
            <b/>
            <sz val="9"/>
            <color indexed="81"/>
            <rFont val="Tahoma"/>
            <family val="2"/>
          </rPr>
          <t xml:space="preserve">FLS:
</t>
        </r>
        <r>
          <rPr>
            <sz val="9"/>
            <color indexed="81"/>
            <rFont val="Tahoma"/>
            <family val="2"/>
          </rPr>
          <t xml:space="preserve">
This is the roughness of the "inner" (bottom) surface of the foil.  (The surface that will be laminated against the prepreg.)
The value should be expressed as a length (mils/micron) by RMS</t>
        </r>
      </text>
    </comment>
    <comment ref="AA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B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C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7.xml><?xml version="1.0" encoding="utf-8"?>
<comments xmlns="http://schemas.openxmlformats.org/spreadsheetml/2006/main">
  <authors>
    <author/>
    <author>charlie</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H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CLAD_TYPE. 
Current legal values are:
DOUBLE_SIDED
SINGLE_SIDED
</t>
        </r>
      </text>
    </comment>
    <comment ref="I1" authorId="0" shapeId="0">
      <text>
        <r>
          <rPr>
            <b/>
            <sz val="10"/>
            <color indexed="8"/>
            <rFont val="Times New Roman"/>
            <family val="1"/>
          </rPr>
          <t xml:space="preserve"> frontline-pcb:
</t>
        </r>
        <r>
          <rPr>
            <sz val="10"/>
            <color indexed="8"/>
            <rFont val="Times New Roman"/>
            <family val="1"/>
          </rPr>
          <t>This field should contain the top foil copper weight. 
Before running the macro please make sure that the correct units are configured in sheets "Units_translation"</t>
        </r>
      </text>
    </comment>
    <comment ref="J1" authorId="0" shapeId="0">
      <text>
        <r>
          <rPr>
            <b/>
            <sz val="10"/>
            <color indexed="8"/>
            <rFont val="Times New Roman"/>
            <family val="1"/>
          </rPr>
          <t xml:space="preserve"> frontline-pcb:
</t>
        </r>
        <r>
          <rPr>
            <sz val="10"/>
            <color indexed="8"/>
            <rFont val="Times New Roman"/>
            <family val="1"/>
          </rPr>
          <t>This field should contain the bottom foil copper weight. 
Before running the macro please make sure that the correct units are configured in sheets "Units_translation"</t>
        </r>
      </text>
    </comment>
    <comment ref="K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top insulation thickness .
Before running the macro please make sure that the configuration of the units in "units_translation" sheet  is correct for that field</t>
        </r>
      </text>
    </comment>
    <comment ref="N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O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Q1" authorId="0" shapeId="0">
      <text>
        <r>
          <rPr>
            <b/>
            <sz val="10"/>
            <color indexed="8"/>
            <rFont val="Times New Roman"/>
            <family val="1"/>
          </rPr>
          <t xml:space="preserve"> frontline-pcb:
</t>
        </r>
        <r>
          <rPr>
            <sz val="10"/>
            <color indexed="8"/>
            <rFont val="Times New Roman"/>
            <family val="1"/>
          </rPr>
          <t>This field should contain the bottom adhesive thickness .
Before running the macro please make sure that the configuration of the units in "units_translation" sheet  is correct for that field</t>
        </r>
      </text>
    </comment>
    <comment ref="R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U1" authorId="1" shapeId="0">
      <text>
        <r>
          <rPr>
            <b/>
            <sz val="9"/>
            <color indexed="81"/>
            <rFont val="Tahoma"/>
            <family val="2"/>
          </rPr>
          <t>FLS:</t>
        </r>
        <r>
          <rPr>
            <sz val="9"/>
            <color indexed="81"/>
            <rFont val="Tahoma"/>
            <family val="2"/>
          </rPr>
          <t xml:space="preserve">
Halogen Free Compliant</t>
        </r>
      </text>
    </comment>
    <comment ref="V1" authorId="1" shapeId="0">
      <text>
        <r>
          <rPr>
            <b/>
            <sz val="9"/>
            <color indexed="81"/>
            <rFont val="Tahoma"/>
            <family val="2"/>
          </rPr>
          <t>FLS:</t>
        </r>
        <r>
          <rPr>
            <sz val="9"/>
            <color indexed="81"/>
            <rFont val="Tahoma"/>
            <family val="2"/>
          </rPr>
          <t xml:space="preserve">
RoHS Compliant</t>
        </r>
      </text>
    </comment>
    <comment ref="W1" authorId="1" shapeId="0">
      <text>
        <r>
          <rPr>
            <b/>
            <sz val="9"/>
            <color indexed="81"/>
            <rFont val="Tahoma"/>
            <family val="2"/>
          </rPr>
          <t>FLS:</t>
        </r>
        <r>
          <rPr>
            <sz val="9"/>
            <color indexed="81"/>
            <rFont val="Tahoma"/>
            <family val="2"/>
          </rPr>
          <t xml:space="preserve">
Low DK Material
  DK &lt; 3.67</t>
        </r>
      </text>
    </comment>
    <comment ref="X1" authorId="1" shapeId="0">
      <text>
        <r>
          <rPr>
            <b/>
            <sz val="9"/>
            <color indexed="81"/>
            <rFont val="Tahoma"/>
            <family val="2"/>
          </rPr>
          <t>FLS:</t>
        </r>
        <r>
          <rPr>
            <sz val="9"/>
            <color indexed="81"/>
            <rFont val="Tahoma"/>
            <family val="2"/>
          </rPr>
          <t xml:space="preserve">
Is Low DF Material
  DF &lt; 0.0125</t>
        </r>
      </text>
    </comment>
    <comment ref="Y1" authorId="2"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Z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AA1" authorId="1" shapeId="0">
      <text>
        <r>
          <rPr>
            <b/>
            <sz val="9"/>
            <color indexed="81"/>
            <rFont val="Tahoma"/>
            <family val="2"/>
          </rPr>
          <t>frontline-pcb:</t>
        </r>
        <r>
          <rPr>
            <sz val="9"/>
            <color indexed="81"/>
            <rFont val="Tahoma"/>
            <family val="2"/>
          </rPr>
          <t xml:space="preserve">
This field should contain the laminate dissipation factor for calculating Attenuation.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TREATED_COPPER_TYPE. 
Current legal values are:
Standard
Treated Copper
</t>
        </r>
      </text>
    </comment>
    <comment ref="AE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F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G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H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I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J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K1" authorId="2"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AL1" authorId="1" shapeId="0">
      <text>
        <r>
          <rPr>
            <b/>
            <sz val="9"/>
            <color indexed="81"/>
            <rFont val="Tahoma"/>
            <family val="2"/>
          </rPr>
          <t>charlie:</t>
        </r>
        <r>
          <rPr>
            <sz val="9"/>
            <color indexed="81"/>
            <rFont val="Tahoma"/>
            <family val="2"/>
          </rPr>
          <t xml:space="preserve">
The thickness which will affect DK value
For Flex Clad = Top Ad + Insulation _ Bot Ad Thickness
</t>
        </r>
      </text>
    </comment>
    <comment ref="AM1" authorId="0" shapeId="0">
      <text>
        <r>
          <rPr>
            <b/>
            <sz val="10"/>
            <color indexed="8"/>
            <rFont val="Times New Roman"/>
            <family val="1"/>
          </rPr>
          <t xml:space="preserve"> frontline-pcb:
</t>
        </r>
        <r>
          <rPr>
            <sz val="10"/>
            <color indexed="8"/>
            <rFont val="Times New Roman"/>
            <family val="1"/>
          </rPr>
          <t>This field should contain the top foil thickness .
Before running the macro please make sure that the configuration of the units in "units_translation" sheet  is correct for that field</t>
        </r>
      </text>
    </comment>
    <comment ref="AN1" authorId="0" shapeId="0">
      <text>
        <r>
          <rPr>
            <b/>
            <sz val="10"/>
            <color indexed="8"/>
            <rFont val="Times New Roman"/>
            <family val="1"/>
          </rPr>
          <t xml:space="preserve"> frontline-pcb:
</t>
        </r>
        <r>
          <rPr>
            <sz val="10"/>
            <color indexed="8"/>
            <rFont val="Times New Roman"/>
            <family val="1"/>
          </rPr>
          <t>This field should contain the bot foil thickness .
Before running the macro please make sure that the configuration of the units in "units_translation" sheet  is correct for that field</t>
        </r>
      </text>
    </comment>
    <comment ref="AO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FLEX_INSULATION_TYPE. 
</t>
        </r>
      </text>
    </comment>
    <comment ref="AP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Q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R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8.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insulation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W1" authorId="0" shapeId="0">
      <text>
        <r>
          <rPr>
            <b/>
            <sz val="10"/>
            <color indexed="8"/>
            <rFont val="Times New Roman"/>
            <family val="1"/>
          </rPr>
          <t xml:space="preserve"> frontline-pcb:
</t>
        </r>
        <r>
          <rPr>
            <sz val="10"/>
            <color indexed="8"/>
            <rFont val="Times New Roman"/>
            <family val="1"/>
          </rPr>
          <t>This field should contain the insulation material type. 
This should be one of the values in the enum "INSULATION_MATERIAL_TYPE"</t>
        </r>
      </text>
    </comment>
    <comment ref="X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Y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A1" authorId="1" shapeId="0">
      <text>
        <r>
          <rPr>
            <b/>
            <sz val="9"/>
            <color indexed="81"/>
            <rFont val="Tahoma"/>
            <family val="2"/>
          </rPr>
          <t>charlie:</t>
        </r>
        <r>
          <rPr>
            <sz val="9"/>
            <color indexed="81"/>
            <rFont val="Tahoma"/>
            <family val="2"/>
          </rPr>
          <t xml:space="preserve">
The thickness which will affect DK value
For Coverlay = Adhesive + Insulation Thickness
</t>
        </r>
      </text>
    </comment>
    <comment ref="AB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C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D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9.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J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K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Q1" authorId="1" shapeId="0">
      <text>
        <r>
          <rPr>
            <b/>
            <sz val="9"/>
            <color indexed="81"/>
            <rFont val="Tahoma"/>
            <family val="2"/>
          </rPr>
          <t>FLS:</t>
        </r>
        <r>
          <rPr>
            <sz val="9"/>
            <color indexed="81"/>
            <rFont val="Tahoma"/>
            <family val="2"/>
          </rPr>
          <t xml:space="preserve">
Low DK Material
  DK &lt; 3.67</t>
        </r>
      </text>
    </comment>
    <comment ref="R1" authorId="1" shapeId="0">
      <text>
        <r>
          <rPr>
            <b/>
            <sz val="9"/>
            <color indexed="81"/>
            <rFont val="Tahoma"/>
            <family val="2"/>
          </rPr>
          <t>FLS:</t>
        </r>
        <r>
          <rPr>
            <sz val="9"/>
            <color indexed="81"/>
            <rFont val="Tahoma"/>
            <family val="2"/>
          </rPr>
          <t xml:space="preserve">
Is Low DF Material
  DF &lt; 0.0125</t>
        </r>
      </text>
    </comment>
    <comment ref="T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U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W1" authorId="1" shapeId="0">
      <text>
        <r>
          <rPr>
            <b/>
            <sz val="9"/>
            <color indexed="81"/>
            <rFont val="Tahoma"/>
            <family val="2"/>
          </rPr>
          <t>charlie:</t>
        </r>
        <r>
          <rPr>
            <sz val="9"/>
            <color indexed="81"/>
            <rFont val="Tahoma"/>
            <family val="2"/>
          </rPr>
          <t xml:space="preserve">
The thickness which will affect DK value
For Adhesive = Adhesive Thickness
</t>
        </r>
      </text>
    </comment>
    <comment ref="X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Y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Z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0.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H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M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N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O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R1" authorId="1" shapeId="0">
      <text>
        <r>
          <rPr>
            <b/>
            <sz val="9"/>
            <color indexed="81"/>
            <rFont val="Tahoma"/>
            <family val="2"/>
          </rPr>
          <t>FLS:</t>
        </r>
        <r>
          <rPr>
            <sz val="9"/>
            <color indexed="81"/>
            <rFont val="Tahoma"/>
            <family val="2"/>
          </rPr>
          <t xml:space="preserve">
Halogen Free Compliant</t>
        </r>
      </text>
    </comment>
    <comment ref="S1" authorId="1" shapeId="0">
      <text>
        <r>
          <rPr>
            <b/>
            <sz val="9"/>
            <color indexed="81"/>
            <rFont val="Tahoma"/>
            <family val="2"/>
          </rPr>
          <t>FLS:</t>
        </r>
        <r>
          <rPr>
            <sz val="9"/>
            <color indexed="81"/>
            <rFont val="Tahoma"/>
            <family val="2"/>
          </rPr>
          <t xml:space="preserve">
RoHS Compliant</t>
        </r>
      </text>
    </comment>
    <comment ref="T1" authorId="1" shapeId="0">
      <text>
        <r>
          <rPr>
            <b/>
            <sz val="9"/>
            <color indexed="81"/>
            <rFont val="Tahoma"/>
            <family val="2"/>
          </rPr>
          <t>FLS:</t>
        </r>
        <r>
          <rPr>
            <sz val="9"/>
            <color indexed="81"/>
            <rFont val="Tahoma"/>
            <family val="2"/>
          </rPr>
          <t xml:space="preserve">
Low DK Material
  DK &lt; 3.67</t>
        </r>
      </text>
    </comment>
    <comment ref="U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W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X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Y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A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B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E1" authorId="1" shapeId="0">
      <text>
        <r>
          <rPr>
            <b/>
            <sz val="9"/>
            <color indexed="81"/>
            <rFont val="Tahoma"/>
            <family val="2"/>
          </rPr>
          <t>charlie:</t>
        </r>
        <r>
          <rPr>
            <sz val="9"/>
            <color indexed="81"/>
            <rFont val="Tahoma"/>
            <family val="2"/>
          </rPr>
          <t xml:space="preserve">
The thickness which will affect DK value
For Bondply = Top Ad + Insulation _ Bot Ad Thickness
</t>
        </r>
      </text>
    </comment>
    <comment ref="AF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G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H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1.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EMI = Adhesive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2.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General Accessory =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3.xml><?xml version="1.0" encoding="utf-8"?>
<comments xmlns="http://schemas.openxmlformats.org/spreadsheetml/2006/main">
  <authors>
    <author xml:space="preserve"> frontline-pcb</author>
    <author>Charlie Huang</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operation code of the MRP step</t>
        </r>
      </text>
    </comment>
    <comment ref="B1" authorId="0" shapeId="0">
      <text>
        <r>
          <rPr>
            <b/>
            <sz val="10"/>
            <color indexed="81"/>
            <rFont val="Tahoma"/>
            <family val="2"/>
          </rPr>
          <t xml:space="preserve"> frontline-pcb:
</t>
        </r>
        <r>
          <rPr>
            <sz val="10"/>
            <color indexed="81"/>
            <rFont val="Tahoma"/>
            <family val="2"/>
          </rPr>
          <t xml:space="preserve">
This field should contain the work center code for this MRP step.
</t>
        </r>
      </text>
    </comment>
    <comment ref="C1" authorId="0" shapeId="0">
      <text>
        <r>
          <rPr>
            <b/>
            <sz val="10"/>
            <color indexed="81"/>
            <rFont val="Tahoma"/>
            <family val="2"/>
          </rPr>
          <t xml:space="preserve"> frontline-pcb:</t>
        </r>
        <r>
          <rPr>
            <sz val="10"/>
            <color indexed="81"/>
            <rFont val="Tahoma"/>
            <family val="2"/>
          </rPr>
          <t xml:space="preserve">
This field should contain the site name that this MRP step will be related to.</t>
        </r>
      </text>
    </comment>
    <comment ref="D1" authorId="0" shapeId="0">
      <text>
        <r>
          <rPr>
            <b/>
            <sz val="10"/>
            <color indexed="81"/>
            <rFont val="Tahoma"/>
            <family val="2"/>
          </rPr>
          <t xml:space="preserve"> frontline-pcb:</t>
        </r>
        <r>
          <rPr>
            <sz val="10"/>
            <color indexed="81"/>
            <rFont val="Tahoma"/>
            <family val="2"/>
          </rPr>
          <t xml:space="preserve">
This field should contain the MRP step description</t>
        </r>
      </text>
    </comment>
    <comment ref="E1" authorId="0" shapeId="0">
      <text>
        <r>
          <rPr>
            <b/>
            <sz val="10"/>
            <color indexed="81"/>
            <rFont val="Tahoma"/>
            <family val="2"/>
          </rPr>
          <t xml:space="preserve"> frontline-pcb:</t>
        </r>
        <r>
          <rPr>
            <sz val="10"/>
            <color indexed="81"/>
            <rFont val="Tahoma"/>
            <family val="2"/>
          </rPr>
          <t xml:space="preserve">
</t>
        </r>
        <r>
          <rPr>
            <b/>
            <sz val="10"/>
            <color indexed="81"/>
            <rFont val="Tahoma"/>
            <family val="2"/>
          </rPr>
          <t>false -</t>
        </r>
        <r>
          <rPr>
            <sz val="10"/>
            <color indexed="81"/>
            <rFont val="Tahoma"/>
            <family val="2"/>
          </rPr>
          <t xml:space="preserve">this MRP step will be availble to the user .
</t>
        </r>
        <r>
          <rPr>
            <b/>
            <sz val="10"/>
            <color indexed="81"/>
            <rFont val="Tahoma"/>
            <family val="2"/>
          </rPr>
          <t>True</t>
        </r>
        <r>
          <rPr>
            <sz val="10"/>
            <color indexed="81"/>
            <rFont val="Tahoma"/>
            <family val="2"/>
          </rPr>
          <t xml:space="preserve"> - The MRP step will not be availble to the user  </t>
        </r>
      </text>
    </comment>
    <comment ref="F1" authorId="0" shapeId="0">
      <text>
        <r>
          <rPr>
            <b/>
            <sz val="10"/>
            <color indexed="81"/>
            <rFont val="Tahoma"/>
            <family val="2"/>
          </rPr>
          <t xml:space="preserve"> frontline-pcb:</t>
        </r>
        <r>
          <rPr>
            <sz val="10"/>
            <color indexed="81"/>
            <rFont val="Tahoma"/>
            <family val="2"/>
          </rPr>
          <t xml:space="preserve">
This field should contain a list of the possibe types that it will be possible to choose later for the MRP_STEP_TYPE. 
The values should be from the group of values for the enum MRP_STEP_TYPE. 
Between a value to the next value in the list the seperator }^{ should be added . 
</t>
        </r>
      </text>
    </comment>
    <comment ref="G1" authorId="0" shapeId="0">
      <text>
        <r>
          <rPr>
            <b/>
            <sz val="10"/>
            <color indexed="81"/>
            <rFont val="Tahoma"/>
            <family val="2"/>
          </rPr>
          <t xml:space="preserve"> frontline-pcb:</t>
        </r>
        <r>
          <rPr>
            <sz val="10"/>
            <color indexed="81"/>
            <rFont val="Tahoma"/>
            <family val="2"/>
          </rPr>
          <t xml:space="preserve">
This field should contain the flow name that should be running when this MRP step is added manually .
</t>
        </r>
        <r>
          <rPr>
            <b/>
            <sz val="10"/>
            <color indexed="81"/>
            <rFont val="Tahoma"/>
            <family val="2"/>
          </rPr>
          <t>The format is</t>
        </r>
        <r>
          <rPr>
            <sz val="10"/>
            <color indexed="81"/>
            <rFont val="Tahoma"/>
            <family val="2"/>
          </rPr>
          <t xml:space="preserve"> :
&lt;package&gt;:&lt;flow&gt;   or   (NO FLOW) in case that there is no flow associated with this MRP step.
</t>
        </r>
      </text>
    </comment>
    <comment ref="I1" authorId="1" shapeId="0">
      <text>
        <r>
          <rPr>
            <b/>
            <sz val="9"/>
            <color indexed="81"/>
            <rFont val="Tahoma"/>
            <family val="2"/>
          </rPr>
          <t>Charlie Huang:</t>
        </r>
        <r>
          <rPr>
            <sz val="9"/>
            <color indexed="81"/>
            <rFont val="Tahoma"/>
            <family val="2"/>
          </rPr>
          <t xml:space="preserve">
WorkCenter_OperationCode
</t>
        </r>
      </text>
    </comment>
    <comment ref="A39" authorId="2" shapeId="0">
      <text>
        <r>
          <rPr>
            <b/>
            <sz val="9"/>
            <color indexed="81"/>
            <rFont val="Tahoma"/>
            <family val="2"/>
          </rPr>
          <t>Bỏ dấu cách giữa 130 và "-"</t>
        </r>
      </text>
    </comment>
    <comment ref="D53" authorId="2" shapeId="0">
      <text>
        <r>
          <rPr>
            <sz val="9"/>
            <color indexed="81"/>
            <rFont val="Tahoma"/>
            <family val="2"/>
          </rPr>
          <t xml:space="preserve">Bỏ dấu cách trước số (1)
</t>
        </r>
      </text>
    </comment>
    <comment ref="D58" authorId="2" shapeId="0">
      <text>
        <r>
          <rPr>
            <sz val="9"/>
            <color indexed="81"/>
            <rFont val="Tahoma"/>
            <family val="2"/>
          </rPr>
          <t xml:space="preserve">Bỏ dấu cách trước chữ AFTER
</t>
        </r>
      </text>
    </comment>
    <comment ref="D73" authorId="2" shapeId="0">
      <text>
        <r>
          <rPr>
            <b/>
            <sz val="9"/>
            <color indexed="81"/>
            <rFont val="Tahoma"/>
            <family val="2"/>
          </rPr>
          <t>Bỏ dấu cách trước số (4)</t>
        </r>
        <r>
          <rPr>
            <sz val="9"/>
            <color indexed="81"/>
            <rFont val="Tahoma"/>
            <family val="2"/>
          </rPr>
          <t xml:space="preserve">
</t>
        </r>
      </text>
    </comment>
    <comment ref="D76" authorId="2" shapeId="0">
      <text>
        <r>
          <rPr>
            <sz val="9"/>
            <color indexed="81"/>
            <rFont val="Tahoma"/>
            <family val="2"/>
          </rPr>
          <t xml:space="preserve">Bỏ dấu cách trước các số
</t>
        </r>
      </text>
    </comment>
    <comment ref="A86" authorId="2" shapeId="0">
      <text>
        <r>
          <rPr>
            <sz val="9"/>
            <color indexed="81"/>
            <rFont val="Tahoma"/>
            <family val="2"/>
          </rPr>
          <t>Không dùng vì đã có 313-SET-D ở bên dưới
2020/06/17</t>
        </r>
        <r>
          <rPr>
            <sz val="9"/>
            <color indexed="81"/>
            <rFont val="Tahoma"/>
            <family val="2"/>
          </rPr>
          <t xml:space="preserve">
</t>
        </r>
      </text>
    </comment>
    <comment ref="D138" authorId="2" shapeId="0">
      <text>
        <r>
          <rPr>
            <sz val="9"/>
            <color indexed="81"/>
            <rFont val="Tahoma"/>
            <family val="2"/>
          </rPr>
          <t xml:space="preserve">Bỏ dấu cách trước số (2)
</t>
        </r>
      </text>
    </comment>
    <comment ref="D149" authorId="2" shapeId="0">
      <text>
        <r>
          <rPr>
            <sz val="9"/>
            <color indexed="81"/>
            <rFont val="Tahoma"/>
            <family val="2"/>
          </rPr>
          <t xml:space="preserve">Thêm dấu cách trước (AFTER
</t>
        </r>
      </text>
    </comment>
    <comment ref="D158" authorId="2" shapeId="0">
      <text>
        <r>
          <rPr>
            <b/>
            <sz val="9"/>
            <color indexed="81"/>
            <rFont val="Tahoma"/>
            <family val="2"/>
          </rPr>
          <t>Bỏ dấu cách trước số (2)</t>
        </r>
        <r>
          <rPr>
            <sz val="9"/>
            <color indexed="81"/>
            <rFont val="Tahoma"/>
            <family val="2"/>
          </rPr>
          <t xml:space="preserve">
</t>
        </r>
      </text>
    </comment>
    <comment ref="D163" authorId="2" shapeId="0">
      <text>
        <r>
          <rPr>
            <b/>
            <sz val="9"/>
            <color indexed="81"/>
            <rFont val="Tahoma"/>
            <family val="2"/>
          </rPr>
          <t>Bỏ dấu cách trước số (2)</t>
        </r>
        <r>
          <rPr>
            <sz val="9"/>
            <color indexed="81"/>
            <rFont val="Tahoma"/>
            <family val="2"/>
          </rPr>
          <t xml:space="preserve">
</t>
        </r>
      </text>
    </comment>
    <comment ref="D171" authorId="2" shapeId="0">
      <text>
        <r>
          <rPr>
            <b/>
            <sz val="9"/>
            <color indexed="81"/>
            <rFont val="Tahoma"/>
            <family val="2"/>
          </rPr>
          <t>Bỏ dấu cách trước số (2)</t>
        </r>
        <r>
          <rPr>
            <sz val="9"/>
            <color indexed="81"/>
            <rFont val="Tahoma"/>
            <family val="2"/>
          </rPr>
          <t xml:space="preserve">
</t>
        </r>
      </text>
    </comment>
    <comment ref="D173" authorId="2" shapeId="0">
      <text>
        <r>
          <rPr>
            <sz val="9"/>
            <color indexed="81"/>
            <rFont val="Tahoma"/>
            <family val="2"/>
          </rPr>
          <t xml:space="preserve">Bỏ dấu cách trước số (2)
</t>
        </r>
      </text>
    </comment>
    <comment ref="D176" authorId="2" shapeId="0">
      <text>
        <r>
          <rPr>
            <sz val="9"/>
            <color indexed="81"/>
            <rFont val="Tahoma"/>
            <family val="2"/>
          </rPr>
          <t xml:space="preserve">Bỏ dấu cách trước số (1)
</t>
        </r>
      </text>
    </comment>
    <comment ref="A187" authorId="2" shapeId="0">
      <text>
        <r>
          <rPr>
            <b/>
            <sz val="9"/>
            <color indexed="81"/>
            <rFont val="Tahoma"/>
            <family val="2"/>
          </rPr>
          <t>Cần xóa bỏ mã này do trùng với mã 595-ELT-D bên dưới</t>
        </r>
        <r>
          <rPr>
            <sz val="9"/>
            <color indexed="81"/>
            <rFont val="Tahoma"/>
            <family val="2"/>
          </rPr>
          <t xml:space="preserve">
</t>
        </r>
      </text>
    </comment>
    <comment ref="A189" authorId="2" shapeId="0">
      <text>
        <r>
          <rPr>
            <b/>
            <sz val="9"/>
            <color indexed="81"/>
            <rFont val="Tahoma"/>
            <family val="2"/>
          </rPr>
          <t>Cần xóa bỏ mã này do trùng với mã 580-SMP-D bên trên.</t>
        </r>
        <r>
          <rPr>
            <sz val="9"/>
            <color indexed="81"/>
            <rFont val="Tahoma"/>
            <family val="2"/>
          </rPr>
          <t xml:space="preserve">
</t>
        </r>
      </text>
    </comment>
    <comment ref="D190" authorId="2" shapeId="0">
      <text>
        <r>
          <rPr>
            <sz val="9"/>
            <color indexed="81"/>
            <rFont val="Tahoma"/>
            <family val="2"/>
          </rPr>
          <t xml:space="preserve">Bỏ dấu cách trước các số 
</t>
        </r>
      </text>
    </comment>
    <comment ref="D199" authorId="2" shapeId="0">
      <text>
        <r>
          <rPr>
            <sz val="9"/>
            <color indexed="81"/>
            <rFont val="Tahoma"/>
            <family val="2"/>
          </rPr>
          <t xml:space="preserve">Bỏ dấu cách trước các số
</t>
        </r>
      </text>
    </comment>
  </commentList>
</comments>
</file>

<file path=xl/comments14.xml><?xml version="1.0" encoding="utf-8"?>
<comments xmlns="http://schemas.openxmlformats.org/spreadsheetml/2006/main">
  <authors>
    <author xml:space="preserve"> frontline-pcb</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Customer full name 
It's not must to have a unique name in this entire list for this field</t>
        </r>
      </text>
    </comment>
    <comment ref="B1" authorId="0" shapeId="0">
      <text>
        <r>
          <rPr>
            <b/>
            <sz val="10"/>
            <color indexed="81"/>
            <rFont val="Tahoma"/>
            <family val="2"/>
          </rPr>
          <t xml:space="preserve"> frontline-pcb:</t>
        </r>
        <r>
          <rPr>
            <sz val="10"/>
            <color indexed="81"/>
            <rFont val="Tahoma"/>
            <family val="2"/>
          </rPr>
          <t xml:space="preserve">
This field should contain the customer code name. This field must be unique since it's used as a key for a customer entry . </t>
        </r>
      </text>
    </comment>
    <comment ref="C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customer is avilble and allowed to be used in inplan jobs
</t>
        </r>
        <r>
          <rPr>
            <b/>
            <sz val="10"/>
            <color indexed="81"/>
            <rFont val="Tahoma"/>
            <family val="2"/>
          </rPr>
          <t>true</t>
        </r>
        <r>
          <rPr>
            <sz val="10"/>
            <color indexed="81"/>
            <rFont val="Tahoma"/>
            <family val="2"/>
          </rPr>
          <t>- The customer is not accessible and can't be used in Inplan jobs.</t>
        </r>
      </text>
    </comment>
    <comment ref="D1" authorId="0" shapeId="0">
      <text>
        <r>
          <rPr>
            <b/>
            <sz val="10"/>
            <color indexed="81"/>
            <rFont val="Tahoma"/>
            <family val="2"/>
          </rPr>
          <t xml:space="preserve"> frontline-pcb:</t>
        </r>
        <r>
          <rPr>
            <sz val="10"/>
            <color indexed="81"/>
            <rFont val="Tahoma"/>
            <family val="2"/>
          </rPr>
          <t xml:space="preserve">
This field should contain one of the values in the enum CUSTOMER_TYPE . 
The possible options are : 
</t>
        </r>
        <r>
          <rPr>
            <b/>
            <sz val="10"/>
            <color indexed="81"/>
            <rFont val="Tahoma"/>
            <family val="2"/>
          </rPr>
          <t xml:space="preserve">Customer Only </t>
        </r>
        <r>
          <rPr>
            <sz val="10"/>
            <color indexed="81"/>
            <rFont val="Tahoma"/>
            <family val="2"/>
          </rPr>
          <t xml:space="preserve">- This customer can be used as customer but not as end customer in a job.
</t>
        </r>
        <r>
          <rPr>
            <b/>
            <sz val="10"/>
            <color indexed="81"/>
            <rFont val="Tahoma"/>
            <family val="2"/>
          </rPr>
          <t>End Customer Only</t>
        </r>
        <r>
          <rPr>
            <sz val="10"/>
            <color indexed="81"/>
            <rFont val="Tahoma"/>
            <family val="2"/>
          </rPr>
          <t xml:space="preserve"> - This customer can be usedin a job  as end customer but not as customer
</t>
        </r>
        <r>
          <rPr>
            <b/>
            <sz val="10"/>
            <color indexed="81"/>
            <rFont val="Tahoma"/>
            <family val="2"/>
          </rPr>
          <t>Both</t>
        </r>
        <r>
          <rPr>
            <sz val="10"/>
            <color indexed="81"/>
            <rFont val="Tahoma"/>
            <family val="2"/>
          </rPr>
          <t xml:space="preserve"> - This customer can be used in a job as a customer as well as end customer.
</t>
        </r>
      </text>
    </comment>
    <comment ref="A63" authorId="1" shapeId="0">
      <text>
        <r>
          <rPr>
            <b/>
            <sz val="9"/>
            <color indexed="81"/>
            <rFont val="Tahoma"/>
            <family val="2"/>
          </rPr>
          <t>Paradigm: NIDEC</t>
        </r>
      </text>
    </comment>
  </commentList>
</comments>
</file>

<file path=xl/comments15.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S1" authorId="1" shapeId="0">
      <text>
        <r>
          <rPr>
            <b/>
            <sz val="9"/>
            <color indexed="81"/>
            <rFont val="Tahoma"/>
            <family val="2"/>
          </rPr>
          <t>FLS:</t>
        </r>
        <r>
          <rPr>
            <sz val="9"/>
            <color indexed="81"/>
            <rFont val="Tahoma"/>
            <family val="2"/>
          </rPr>
          <t xml:space="preserve">
Low DK Material
  DK &lt; 3.67</t>
        </r>
      </text>
    </comment>
    <comment ref="T1" authorId="1" shapeId="0">
      <text>
        <r>
          <rPr>
            <b/>
            <sz val="9"/>
            <color indexed="81"/>
            <rFont val="Tahoma"/>
            <family val="2"/>
          </rPr>
          <t>FLS:</t>
        </r>
        <r>
          <rPr>
            <sz val="9"/>
            <color indexed="81"/>
            <rFont val="Tahoma"/>
            <family val="2"/>
          </rPr>
          <t xml:space="preserve">
Is Low DF Material
  DF &lt; 0.0125</t>
        </r>
      </text>
    </comment>
    <comment ref="AA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B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D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E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F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6.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A unique drill bit name should be entered per drill bit. 
It's recommended that the drill bit name should be a concatanation of some of the other drill properties , that's in order to give a descriptive name for each bit</t>
        </r>
      </text>
    </comment>
    <comment ref="B1" authorId="0" shapeId="0">
      <text>
        <r>
          <rPr>
            <b/>
            <sz val="10"/>
            <color indexed="81"/>
            <rFont val="Tahoma"/>
            <family val="2"/>
          </rPr>
          <t xml:space="preserve"> frontline-pcb:</t>
        </r>
        <r>
          <rPr>
            <sz val="10"/>
            <color indexed="81"/>
            <rFont val="Tahoma"/>
            <family val="2"/>
          </rPr>
          <t xml:space="preserve">
This field should contain a generic name for the drill bit. It's not must that this name will be unique. </t>
        </r>
      </text>
    </comment>
    <comment ref="C1" authorId="0" shapeId="0">
      <text>
        <r>
          <rPr>
            <b/>
            <sz val="10"/>
            <color indexed="81"/>
            <rFont val="Tahoma"/>
            <family val="2"/>
          </rPr>
          <t xml:space="preserve"> frontline-pcb:</t>
        </r>
        <r>
          <rPr>
            <sz val="10"/>
            <color indexed="81"/>
            <rFont val="Tahoma"/>
            <family val="2"/>
          </rPr>
          <t xml:space="preserve">
</t>
        </r>
      </text>
    </comment>
    <comment ref="D1" authorId="0" shapeId="0">
      <text>
        <r>
          <rPr>
            <b/>
            <sz val="10"/>
            <color indexed="81"/>
            <rFont val="Tahoma"/>
            <family val="2"/>
          </rPr>
          <t xml:space="preserve"> frontline-pcb:</t>
        </r>
        <r>
          <rPr>
            <sz val="10"/>
            <color indexed="81"/>
            <rFont val="Tahoma"/>
            <family val="2"/>
          </rPr>
          <t xml:space="preserve">
This field should contain the site name that this drill bit should belong to. 
The site name must be an existing site. 
The site name is case sensitive.
</t>
        </r>
      </text>
    </comment>
    <comment ref="E1" authorId="0" shapeId="0">
      <text>
        <r>
          <rPr>
            <b/>
            <sz val="10"/>
            <color indexed="81"/>
            <rFont val="Tahoma"/>
            <family val="2"/>
          </rPr>
          <t xml:space="preserve"> frontline-pcb:</t>
        </r>
        <r>
          <rPr>
            <sz val="10"/>
            <color indexed="81"/>
            <rFont val="Tahoma"/>
            <family val="2"/>
          </rPr>
          <t xml:space="preserve">
This field should contain the drill bit size . 
Before running the macro please make sure that the units are configured correctly in the "UNITS_TRANSLATION" sheet . 
This size is considered later to choose this bit in order to create a specific drill hole size . </t>
        </r>
      </text>
    </comment>
    <comment ref="F1" authorId="0" shapeId="0">
      <text>
        <r>
          <rPr>
            <b/>
            <sz val="10"/>
            <color indexed="81"/>
            <rFont val="Tahoma"/>
            <family val="2"/>
          </rPr>
          <t xml:space="preserve"> frontline-pcb:</t>
        </r>
        <r>
          <rPr>
            <sz val="10"/>
            <color indexed="81"/>
            <rFont val="Tahoma"/>
            <family val="2"/>
          </rPr>
          <t xml:space="preserve">
This field should contain the drill bit type. 
The type must be one of the possible values inside the enum "DRILL_BIT_TYPE"</t>
        </r>
      </text>
    </comment>
    <comment ref="G1" authorId="0" shapeId="0">
      <text>
        <r>
          <rPr>
            <b/>
            <sz val="10"/>
            <color indexed="81"/>
            <rFont val="Tahoma"/>
            <family val="2"/>
          </rPr>
          <t xml:space="preserve"> frontline-pcb:</t>
        </r>
        <r>
          <rPr>
            <sz val="10"/>
            <color indexed="81"/>
            <rFont val="Tahoma"/>
            <family val="2"/>
          </rPr>
          <t xml:space="preserve">
This field should contain a list of the possibe usage options for this drill bit.
The values should be from the group of values for the enum DRILL_HOLE_TYPE. 
It's possible to concatenate more than one value.
Between a value to the next value in the list the seperator }^{ should be added . 
</t>
        </r>
      </text>
    </comment>
  </commentList>
</comments>
</file>

<file path=xl/comments17.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1" shapeId="0">
      <text>
        <r>
          <rPr>
            <b/>
            <sz val="9"/>
            <color indexed="81"/>
            <rFont val="Tahoma"/>
            <family val="2"/>
          </rPr>
          <t>FLS:</t>
        </r>
        <r>
          <rPr>
            <sz val="9"/>
            <color indexed="81"/>
            <rFont val="Tahoma"/>
            <family val="2"/>
          </rPr>
          <t xml:space="preserve">
Halogen Free Compliant</t>
        </r>
      </text>
    </comment>
    <comment ref="J1" authorId="1" shapeId="0">
      <text>
        <r>
          <rPr>
            <b/>
            <sz val="9"/>
            <color indexed="81"/>
            <rFont val="Tahoma"/>
            <family val="2"/>
          </rPr>
          <t>FLS:</t>
        </r>
        <r>
          <rPr>
            <sz val="9"/>
            <color indexed="81"/>
            <rFont val="Tahoma"/>
            <family val="2"/>
          </rPr>
          <t xml:space="preserve">
RoHS Compliant</t>
        </r>
      </text>
    </comment>
    <comment ref="K1" authorId="1" shapeId="0">
      <text>
        <r>
          <rPr>
            <b/>
            <sz val="9"/>
            <color indexed="81"/>
            <rFont val="Tahoma"/>
            <family val="2"/>
          </rPr>
          <t>FLS:</t>
        </r>
        <r>
          <rPr>
            <sz val="9"/>
            <color indexed="81"/>
            <rFont val="Tahoma"/>
            <family val="2"/>
          </rPr>
          <t xml:space="preserve">
Low DK Material
  DK &lt; 3.67</t>
        </r>
      </text>
    </comment>
    <comment ref="L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M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N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O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P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Q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8.xml><?xml version="1.0" encoding="utf-8"?>
<comments xmlns="http://schemas.openxmlformats.org/spreadsheetml/2006/main">
  <authors>
    <author xml:space="preserve"> frontline-pcb</author>
    <author>charlie</author>
    <author/>
    <author>Charlie Huang</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t>
        </r>
      </text>
    </comment>
    <comment ref="G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H1" authorId="2" shapeId="0">
      <text>
        <r>
          <rPr>
            <b/>
            <sz val="10"/>
            <color indexed="8"/>
            <rFont val="Times New Roman"/>
            <family val="1"/>
          </rPr>
          <t xml:space="preserve"> frontline-pcb:
</t>
        </r>
        <r>
          <rPr>
            <sz val="10"/>
            <color indexed="8"/>
            <rFont val="Times New Roman"/>
            <family val="1"/>
          </rPr>
          <t>This field contains the number of prepregs used inside this core</t>
        </r>
      </text>
    </comment>
    <comment ref="I1" authorId="2" shapeId="0">
      <text>
        <r>
          <rPr>
            <b/>
            <sz val="10"/>
            <color indexed="8"/>
            <rFont val="Times New Roman"/>
            <family val="1"/>
          </rPr>
          <t xml:space="preserve"> frontline-pcb:
</t>
        </r>
        <r>
          <rPr>
            <sz val="10"/>
            <color indexed="8"/>
            <rFont val="Times New Roman"/>
            <family val="1"/>
          </rPr>
          <t>This field should contain the laminate thickness . 
Before running the macro please make sure that the configuration of the units in "units_translation" sheet  is correct for that field</t>
        </r>
      </text>
    </comment>
    <comment ref="J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K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M1" authorId="3" shapeId="0">
      <text>
        <r>
          <rPr>
            <b/>
            <sz val="9"/>
            <color indexed="81"/>
            <rFont val="Tahoma"/>
            <family val="2"/>
          </rPr>
          <t>Charlie Huang:</t>
        </r>
        <r>
          <rPr>
            <sz val="9"/>
            <color indexed="81"/>
            <rFont val="Tahoma"/>
            <family val="2"/>
          </rPr>
          <t xml:space="preserve">
Material thickness tolerance will be set based on the class type
</t>
        </r>
      </text>
    </comment>
    <comment ref="BF1" authorId="1" shapeId="0">
      <text>
        <r>
          <rPr>
            <b/>
            <sz val="9"/>
            <color indexed="81"/>
            <rFont val="Tahoma"/>
            <family val="2"/>
          </rPr>
          <t>FLS:</t>
        </r>
        <r>
          <rPr>
            <sz val="9"/>
            <color indexed="81"/>
            <rFont val="Tahoma"/>
            <family val="2"/>
          </rPr>
          <t xml:space="preserve">
Halogen Free Compliant</t>
        </r>
      </text>
    </comment>
    <comment ref="BG1" authorId="1" shapeId="0">
      <text>
        <r>
          <rPr>
            <b/>
            <sz val="9"/>
            <color indexed="81"/>
            <rFont val="Tahoma"/>
            <family val="2"/>
          </rPr>
          <t>FLS:</t>
        </r>
        <r>
          <rPr>
            <sz val="9"/>
            <color indexed="81"/>
            <rFont val="Tahoma"/>
            <family val="2"/>
          </rPr>
          <t xml:space="preserve">
RoHS Compliant</t>
        </r>
      </text>
    </comment>
    <comment ref="BH1" authorId="1" shapeId="0">
      <text>
        <r>
          <rPr>
            <b/>
            <sz val="9"/>
            <color indexed="81"/>
            <rFont val="Tahoma"/>
            <family val="2"/>
          </rPr>
          <t>FLS:</t>
        </r>
        <r>
          <rPr>
            <sz val="9"/>
            <color indexed="81"/>
            <rFont val="Tahoma"/>
            <family val="2"/>
          </rPr>
          <t xml:space="preserve">
Low DK Material
  DK &lt; 3.67</t>
        </r>
      </text>
    </comment>
    <comment ref="BI1" authorId="1" shapeId="0">
      <text>
        <r>
          <rPr>
            <b/>
            <sz val="9"/>
            <color indexed="81"/>
            <rFont val="Tahoma"/>
            <family val="2"/>
          </rPr>
          <t>FLS:</t>
        </r>
        <r>
          <rPr>
            <sz val="9"/>
            <color indexed="81"/>
            <rFont val="Tahoma"/>
            <family val="2"/>
          </rPr>
          <t xml:space="preserve">
Is Low DF Material
  DF &lt; 0.0125</t>
        </r>
      </text>
    </comment>
    <comment ref="BU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BV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BX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CA1" authorId="1" shapeId="0">
      <text>
        <r>
          <rPr>
            <b/>
            <sz val="9"/>
            <color indexed="81"/>
            <rFont val="Tahoma"/>
            <family val="2"/>
          </rPr>
          <t>charlie:</t>
        </r>
        <r>
          <rPr>
            <sz val="9"/>
            <color indexed="81"/>
            <rFont val="Tahoma"/>
            <family val="2"/>
          </rPr>
          <t xml:space="preserve">
The thickness which will affect DK value
For Core = Laminate Thickness
</t>
        </r>
      </text>
    </comment>
    <comment ref="CB1" authorId="3" shapeId="0">
      <text>
        <r>
          <rPr>
            <b/>
            <sz val="9"/>
            <color indexed="81"/>
            <rFont val="Tahoma"/>
            <family val="2"/>
          </rPr>
          <t>Charlie Huang:</t>
        </r>
        <r>
          <rPr>
            <sz val="9"/>
            <color indexed="81"/>
            <rFont val="Tahoma"/>
            <family val="2"/>
          </rPr>
          <t xml:space="preserve">
Covert the LAMINATE_THICKNESS to mic, it will be easy to set the Tolerance based on the IPC Class</t>
        </r>
      </text>
    </comment>
    <comment ref="CC1" authorId="3" shapeId="0">
      <text>
        <r>
          <rPr>
            <b/>
            <sz val="9"/>
            <color indexed="81"/>
            <rFont val="Tahoma"/>
            <family val="2"/>
          </rPr>
          <t>Charlie Huang:</t>
        </r>
        <r>
          <rPr>
            <sz val="9"/>
            <color indexed="81"/>
            <rFont val="Tahoma"/>
            <family val="2"/>
          </rPr>
          <t xml:space="preserve">
The the IPC min thickness</t>
        </r>
      </text>
    </comment>
    <comment ref="CD1" authorId="0" shapeId="0">
      <text>
        <r>
          <rPr>
            <b/>
            <sz val="10"/>
            <color indexed="81"/>
            <rFont val="Tahoma"/>
            <family val="2"/>
          </rPr>
          <t xml:space="preserve"> frontline-pcb:</t>
        </r>
        <r>
          <rPr>
            <sz val="10"/>
            <color indexed="81"/>
            <rFont val="Tahoma"/>
            <family val="2"/>
          </rPr>
          <t xml:space="preserve">
tolerance +.
Before running the macro please make sure that the units configuration is correct in the sheet "UNITS_TRANSLATION" .</t>
        </r>
      </text>
    </comment>
    <comment ref="CE1" authorId="0" shapeId="0">
      <text>
        <r>
          <rPr>
            <b/>
            <sz val="10"/>
            <color indexed="81"/>
            <rFont val="Tahoma"/>
            <family val="2"/>
          </rPr>
          <t xml:space="preserve"> frontline-pcb:</t>
        </r>
        <r>
          <rPr>
            <sz val="10"/>
            <color indexed="81"/>
            <rFont val="Tahoma"/>
            <family val="2"/>
          </rPr>
          <t xml:space="preserve">
This field should contain the laminate thickness tolerance -.
Before running the macro please make sure that the units configuration is correct in the sheet "UNITS_TRANSLATION" .</t>
        </r>
      </text>
    </comment>
    <comment ref="CF1" authorId="2"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
Set the X size as Grain Direction Size</t>
        </r>
      </text>
    </comment>
    <comment ref="CG1" authorId="2"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CH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CI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J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K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CL1" authorId="0" shapeId="0">
      <text>
        <r>
          <rPr>
            <b/>
            <sz val="10"/>
            <color indexed="81"/>
            <rFont val="Tahoma"/>
            <family val="2"/>
          </rPr>
          <t xml:space="preserve"> frontline-pcb:</t>
        </r>
        <r>
          <rPr>
            <sz val="10"/>
            <color indexed="81"/>
            <rFont val="Tahoma"/>
            <family val="2"/>
          </rPr>
          <t xml:space="preserve">
This field can contain the material MRP revision</t>
        </r>
      </text>
    </comment>
    <comment ref="CM1" authorId="0" shapeId="0">
      <text>
        <r>
          <rPr>
            <b/>
            <sz val="10"/>
            <color indexed="81"/>
            <rFont val="Tahoma"/>
            <family val="2"/>
          </rPr>
          <t xml:space="preserve"> frontline-pcb:</t>
        </r>
        <r>
          <rPr>
            <sz val="10"/>
            <color indexed="81"/>
            <rFont val="Tahoma"/>
            <family val="2"/>
          </rPr>
          <t xml:space="preserve">
This field can contain a description for the material MRP name</t>
        </r>
      </text>
    </comment>
  </commentList>
</comments>
</file>

<file path=xl/comments19.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recommended to concat by excel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C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VENDOR
</t>
        </r>
      </text>
    </comment>
    <comment ref="D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E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F1" authorId="0" shapeId="0">
      <text>
        <r>
          <rPr>
            <b/>
            <sz val="10"/>
            <color indexed="81"/>
            <rFont val="Tahoma"/>
            <family val="2"/>
          </rPr>
          <t xml:space="preserve"> frontline-pcb:</t>
        </r>
        <r>
          <rPr>
            <sz val="10"/>
            <color indexed="81"/>
            <rFont val="Tahoma"/>
            <family val="2"/>
          </rPr>
          <t xml:space="preserve">
This field can contain the material MRP revision .</t>
        </r>
      </text>
    </comment>
    <comment ref="G1" authorId="0" shapeId="0">
      <text>
        <r>
          <rPr>
            <b/>
            <sz val="10"/>
            <color indexed="81"/>
            <rFont val="Tahoma"/>
            <family val="2"/>
          </rPr>
          <t xml:space="preserve"> frontline-pcb:</t>
        </r>
        <r>
          <rPr>
            <sz val="10"/>
            <color indexed="81"/>
            <rFont val="Tahoma"/>
            <family val="2"/>
          </rPr>
          <t xml:space="preserve">
This field can contain the material MRP description .</t>
        </r>
      </text>
    </comment>
    <comment ref="H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I1" authorId="0" shapeId="0">
      <text>
        <r>
          <rPr>
            <b/>
            <sz val="10"/>
            <color indexed="81"/>
            <rFont val="Tahoma"/>
            <family val="2"/>
          </rPr>
          <t xml:space="preserve"> frontline-pcb:</t>
        </r>
        <r>
          <rPr>
            <sz val="10"/>
            <color indexed="81"/>
            <rFont val="Tahoma"/>
            <family val="2"/>
          </rPr>
          <t xml:space="preserve">
This field should contain the material X sheet size . 
Before running the macro , make sure to configure the correct units for this field in the "UNITS_TRANSLATION" sheet.</t>
        </r>
      </text>
    </comment>
    <comment ref="J1" authorId="0" shapeId="0">
      <text>
        <r>
          <rPr>
            <b/>
            <sz val="10"/>
            <color indexed="81"/>
            <rFont val="Tahoma"/>
            <family val="2"/>
          </rPr>
          <t xml:space="preserve"> frontline-pcb:</t>
        </r>
        <r>
          <rPr>
            <sz val="10"/>
            <color indexed="81"/>
            <rFont val="Tahoma"/>
            <family val="2"/>
          </rPr>
          <t xml:space="preserve">
This field should contain the material Y sheet size . 
Before running the macro , make sure to configure the correct units for this field in the "UNITS_TRANSLATION" sheet.</t>
        </r>
      </text>
    </comment>
    <comment ref="K1" authorId="0" shapeId="0">
      <text>
        <r>
          <rPr>
            <b/>
            <sz val="10"/>
            <color indexed="81"/>
            <rFont val="Tahoma"/>
            <family val="2"/>
          </rPr>
          <t xml:space="preserve"> frontline-pcb:</t>
        </r>
        <r>
          <rPr>
            <sz val="10"/>
            <color indexed="81"/>
            <rFont val="Tahoma"/>
            <family val="2"/>
          </rPr>
          <t xml:space="preserve">
This field should contain the type of the material . In this worksheet make sure that the values for all of the lines is "RCF" .</t>
        </r>
      </text>
    </comment>
    <comment ref="L1" authorId="0" shapeId="0">
      <text>
        <r>
          <rPr>
            <b/>
            <sz val="10"/>
            <color indexed="81"/>
            <rFont val="Tahoma"/>
            <family val="2"/>
          </rPr>
          <t xml:space="preserve"> frontline-pcb:</t>
        </r>
        <r>
          <rPr>
            <sz val="10"/>
            <color indexed="81"/>
            <rFont val="Tahoma"/>
            <family val="2"/>
          </rPr>
          <t xml:space="preserve">
The possible values here are : 
</t>
        </r>
        <r>
          <rPr>
            <b/>
            <sz val="10"/>
            <color indexed="81"/>
            <rFont val="Tahoma"/>
            <family val="2"/>
          </rPr>
          <t>Quantity</t>
        </r>
        <r>
          <rPr>
            <sz val="10"/>
            <color indexed="81"/>
            <rFont val="Tahoma"/>
            <family val="2"/>
          </rPr>
          <t xml:space="preserve"> - Well defined number of sheets .
</t>
        </r>
        <r>
          <rPr>
            <b/>
            <sz val="10"/>
            <color indexed="81"/>
            <rFont val="Tahoma"/>
            <family val="2"/>
          </rPr>
          <t>Length</t>
        </r>
        <r>
          <rPr>
            <sz val="10"/>
            <color indexed="81"/>
            <rFont val="Tahoma"/>
            <family val="2"/>
          </rPr>
          <t xml:space="preserve"> - In case that the material is from roll type use this option.</t>
        </r>
      </text>
    </comment>
    <comment ref="M1" authorId="0" shapeId="0">
      <text>
        <r>
          <rPr>
            <b/>
            <sz val="10"/>
            <color indexed="81"/>
            <rFont val="Tahoma"/>
            <family val="2"/>
          </rPr>
          <t xml:space="preserve"> frontline-pcb:</t>
        </r>
        <r>
          <rPr>
            <sz val="10"/>
            <color indexed="81"/>
            <rFont val="Tahoma"/>
            <family val="2"/>
          </rPr>
          <t xml:space="preserve">
This field should contain the B stage laminate thickness in this RCF material. 
Before running the macro please make sure that the correct units for this field are configured in the "UNITS_TRANSLATION" sheet.</t>
        </r>
      </text>
    </comment>
    <comment ref="N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O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P1" authorId="0" shapeId="0">
      <text>
        <r>
          <rPr>
            <b/>
            <sz val="10"/>
            <color indexed="81"/>
            <rFont val="Tahoma"/>
            <family val="2"/>
          </rPr>
          <t xml:space="preserve"> frontline-pcb:</t>
        </r>
        <r>
          <rPr>
            <sz val="10"/>
            <color indexed="81"/>
            <rFont val="Tahoma"/>
            <family val="2"/>
          </rPr>
          <t xml:space="preserve">
This field should contain the value of the B stage laminate permittivity.</t>
        </r>
      </text>
    </comment>
    <comment ref="Q1" authorId="0" shapeId="0">
      <text>
        <r>
          <rPr>
            <b/>
            <sz val="10"/>
            <color indexed="81"/>
            <rFont val="Tahoma"/>
            <family val="2"/>
          </rPr>
          <t xml:space="preserve"> frontline-pcb:</t>
        </r>
        <r>
          <rPr>
            <sz val="10"/>
            <color indexed="81"/>
            <rFont val="Tahoma"/>
            <family val="2"/>
          </rPr>
          <t xml:space="preserve">
This field should contain the B stage laminate thickness of the glass part in this RCF material. 
Before running the macro please make sure that the correct units for this field are configured in the "UNITS_TRANSLATION" sheet.</t>
        </r>
      </text>
    </comment>
    <comment ref="R1" authorId="0" shapeId="0">
      <text>
        <r>
          <rPr>
            <b/>
            <sz val="10"/>
            <color indexed="81"/>
            <rFont val="Tahoma"/>
            <family val="2"/>
          </rPr>
          <t xml:space="preserve"> frontline-pcb:</t>
        </r>
        <r>
          <rPr>
            <sz val="10"/>
            <color indexed="81"/>
            <rFont val="Tahoma"/>
            <family val="2"/>
          </rPr>
          <t xml:space="preserve">
This field should contain the resin percentage in the B stage laminate .</t>
        </r>
      </text>
    </comment>
    <comment ref="S1" authorId="0" shapeId="0">
      <text>
        <r>
          <rPr>
            <b/>
            <sz val="10"/>
            <color indexed="81"/>
            <rFont val="Tahoma"/>
            <family val="2"/>
          </rPr>
          <t xml:space="preserve"> frontline-pcb:</t>
        </r>
        <r>
          <rPr>
            <sz val="10"/>
            <color indexed="81"/>
            <rFont val="Tahoma"/>
            <family val="2"/>
          </rPr>
          <t xml:space="preserve">
This field should contain the resin permittivity in the resin of the B stage laminate part . </t>
        </r>
      </text>
    </comment>
    <comment ref="T1" authorId="0" shapeId="0">
      <text>
        <r>
          <rPr>
            <b/>
            <sz val="10"/>
            <color indexed="81"/>
            <rFont val="Tahoma"/>
            <family val="2"/>
          </rPr>
          <t xml:space="preserve"> frontline-pcb:</t>
        </r>
        <r>
          <rPr>
            <sz val="10"/>
            <color indexed="81"/>
            <rFont val="Tahoma"/>
            <family val="2"/>
          </rPr>
          <t xml:space="preserve">
This field should contain the C stage laminate permittivity.</t>
        </r>
      </text>
    </comment>
    <comment ref="U1" authorId="0" shapeId="0">
      <text>
        <r>
          <rPr>
            <b/>
            <sz val="10"/>
            <color indexed="81"/>
            <rFont val="Tahoma"/>
            <family val="2"/>
          </rPr>
          <t xml:space="preserve"> frontline-pcb:</t>
        </r>
        <r>
          <rPr>
            <sz val="10"/>
            <color indexed="81"/>
            <rFont val="Tahoma"/>
            <family val="2"/>
          </rPr>
          <t xml:space="preserve">
This field should contain the C stage laminate resin percentage</t>
        </r>
      </text>
    </comment>
    <comment ref="V1" authorId="0" shapeId="0">
      <text>
        <r>
          <rPr>
            <b/>
            <sz val="10"/>
            <color indexed="81"/>
            <rFont val="Tahoma"/>
            <family val="2"/>
          </rPr>
          <t xml:space="preserve"> frontline-pcb:</t>
        </r>
        <r>
          <rPr>
            <sz val="10"/>
            <color indexed="81"/>
            <rFont val="Tahoma"/>
            <family val="2"/>
          </rPr>
          <t xml:space="preserve">
This field should contain the laminate C stage thickness. 
Before running the macro please make sure that the units connigured in sheet "UNITS_TRANSLATION" are configured correctly.</t>
        </r>
      </text>
    </comment>
    <comment ref="W1" authorId="0" shapeId="0">
      <text>
        <r>
          <rPr>
            <b/>
            <sz val="10"/>
            <color indexed="81"/>
            <rFont val="Tahoma"/>
            <family val="2"/>
          </rPr>
          <t xml:space="preserve"> frontline-pcb:</t>
        </r>
        <r>
          <rPr>
            <sz val="10"/>
            <color indexed="81"/>
            <rFont val="Tahoma"/>
            <family val="2"/>
          </rPr>
          <t xml:space="preserve">
This field should contain the laminate C stage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X1" authorId="0" shapeId="0">
      <text>
        <r>
          <rPr>
            <b/>
            <sz val="10"/>
            <color indexed="81"/>
            <rFont val="Tahoma"/>
            <family val="2"/>
          </rPr>
          <t xml:space="preserve"> frontline-pcb:</t>
        </r>
        <r>
          <rPr>
            <sz val="10"/>
            <color indexed="81"/>
            <rFont val="Tahoma"/>
            <family val="2"/>
          </rPr>
          <t xml:space="preserve">
This field should contain the laminate C stage thickness tolerance+. 
The information should be arrived from the manufucterer . If you don't have the information it's recommended to fill 0 here. 
Before running the macro please make sure that the units connigured in sheet "UNITS_TRANSLATION" are configured correctly.</t>
        </r>
      </text>
    </comment>
    <comment ref="Y1" authorId="0" shapeId="0">
      <text>
        <r>
          <rPr>
            <b/>
            <sz val="10"/>
            <color indexed="81"/>
            <rFont val="Tahoma"/>
            <family val="2"/>
          </rPr>
          <t xml:space="preserve"> frontline-pcb:</t>
        </r>
        <r>
          <rPr>
            <sz val="10"/>
            <color indexed="81"/>
            <rFont val="Tahoma"/>
            <family val="2"/>
          </rPr>
          <t xml:space="preserve">
This field should contain the  foil cupper weight. 
Before running the macro please make sure that the correct units are configured in sheets "Units_translation"</t>
        </r>
      </text>
    </comment>
    <comment ref="Z1" authorId="0" shapeId="0">
      <text>
        <r>
          <rPr>
            <b/>
            <sz val="10"/>
            <color indexed="81"/>
            <rFont val="Tahoma"/>
            <family val="2"/>
          </rPr>
          <t xml:space="preserve"> frontline-pcb:</t>
        </r>
        <r>
          <rPr>
            <sz val="10"/>
            <color indexed="81"/>
            <rFont val="Tahoma"/>
            <family val="2"/>
          </rPr>
          <t xml:space="preserve">
This field should contain the  foil thickness. 
Before running the macro please make sure that the correct units are configured in sheets "Units_translation"</t>
        </r>
      </text>
    </comment>
    <comment ref="AA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B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C1" authorId="0" shapeId="0">
      <text>
        <r>
          <rPr>
            <b/>
            <sz val="10"/>
            <color indexed="81"/>
            <rFont val="Tahoma"/>
            <family val="2"/>
          </rPr>
          <t xml:space="preserve"> frontline-pcb:</t>
        </r>
        <r>
          <rPr>
            <sz val="10"/>
            <color indexed="81"/>
            <rFont val="Tahoma"/>
            <family val="2"/>
          </rPr>
          <t xml:space="preserve">
This field should contain the material glass type. 
The value here should be one of the possible values for enum GLASS_TYPE.</t>
        </r>
      </text>
    </comment>
    <comment ref="AD1" authorId="0" shapeId="0">
      <text>
        <r>
          <rPr>
            <b/>
            <sz val="10"/>
            <color indexed="81"/>
            <rFont val="Tahoma"/>
            <family val="2"/>
          </rPr>
          <t xml:space="preserve"> frontline-pcb:</t>
        </r>
        <r>
          <rPr>
            <sz val="10"/>
            <color indexed="81"/>
            <rFont val="Tahoma"/>
            <family val="2"/>
          </rPr>
          <t xml:space="preserve">
This field should contain the max allowed resin loss for this material . 
Before running the macro please make sure that the units are configured correctly in "UNITS_TRANSLATION" sheet. </t>
        </r>
      </text>
    </comment>
    <comment ref="AE1" authorId="0" shapeId="0">
      <text>
        <r>
          <rPr>
            <b/>
            <sz val="10"/>
            <color indexed="81"/>
            <rFont val="Tahoma"/>
            <family val="2"/>
          </rPr>
          <t xml:space="preserve"> frontline-pcb:</t>
        </r>
        <r>
          <rPr>
            <sz val="10"/>
            <color indexed="81"/>
            <rFont val="Tahoma"/>
            <family val="2"/>
          </rPr>
          <t xml:space="preserve">
This field should contain the min allowed thickness  for this material . 
Before running the macro please make sure that the units are configured correctly in "UNITS_TRANSLATION" sheet. </t>
        </r>
      </text>
    </comment>
    <comment ref="AF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AG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AI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currently in the werhouse inventory . </t>
        </r>
      </text>
    </comment>
    <comment ref="AJ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12 hours in the inventory.</t>
        </r>
      </text>
    </comment>
    <comment ref="AK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24 hours in the inventory.</t>
        </r>
      </text>
    </comment>
    <comment ref="AL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AM1" authorId="0" shapeId="0">
      <text>
        <r>
          <rPr>
            <b/>
            <sz val="10"/>
            <color indexed="81"/>
            <rFont val="Tahoma"/>
            <family val="2"/>
          </rPr>
          <t xml:space="preserve"> frontline-pcb:</t>
        </r>
        <r>
          <rPr>
            <sz val="10"/>
            <color indexed="81"/>
            <rFont val="Tahoma"/>
            <family val="2"/>
          </rPr>
          <t xml:space="preserve">
This field should contain the material ERP code name for this specific site</t>
        </r>
      </text>
    </comment>
    <comment ref="AN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AO1" authorId="0" shapeId="0">
      <text>
        <r>
          <rPr>
            <b/>
            <sz val="10"/>
            <color indexed="81"/>
            <rFont val="Tahoma"/>
            <family val="2"/>
          </rPr>
          <t xml:space="preserve"> frontline-pcb:</t>
        </r>
        <r>
          <rPr>
            <sz val="10"/>
            <color indexed="81"/>
            <rFont val="Tahoma"/>
            <family val="2"/>
          </rPr>
          <t xml:space="preserve">
In case that for a specific site the raw thickness for that prepreg is different than the value that was configured as raw_thickness , set this value here. 
Make sure that the units are configured correctly in the "UNITS_TRANSLATION" sheet. </t>
        </r>
      </text>
    </comment>
    <comment ref="AP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 ref="AQ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List>
</comments>
</file>

<file path=xl/comments20.xml><?xml version="1.0" encoding="utf-8"?>
<comments xmlns="http://schemas.openxmlformats.org/spreadsheetml/2006/main">
  <authors>
    <author>charlie</author>
  </authors>
  <commentList>
    <comment ref="K2" authorId="0" shapeId="0">
      <text>
        <r>
          <rPr>
            <b/>
            <sz val="9"/>
            <color indexed="81"/>
            <rFont val="Tahoma"/>
            <family val="2"/>
          </rPr>
          <t>charlie:</t>
        </r>
        <r>
          <rPr>
            <sz val="9"/>
            <color indexed="81"/>
            <rFont val="Tahoma"/>
            <family val="2"/>
          </rPr>
          <t xml:space="preserve">
Anti-CAF</t>
        </r>
      </text>
    </comment>
  </commentList>
</comments>
</file>

<file path=xl/sharedStrings.xml><?xml version="1.0" encoding="utf-8"?>
<sst xmlns="http://schemas.openxmlformats.org/spreadsheetml/2006/main" count="6112" uniqueCount="2241">
  <si>
    <t>Foil</t>
  </si>
  <si>
    <t>INTERFACE</t>
  </si>
  <si>
    <t>ATTRIBUTE</t>
  </si>
  <si>
    <t>UNIT</t>
  </si>
  <si>
    <t>UNIT NAME</t>
  </si>
  <si>
    <t>DB_CONVERSION</t>
  </si>
  <si>
    <t>RCF</t>
  </si>
  <si>
    <t>ATTRS</t>
  </si>
  <si>
    <t>FOIL_CU_WEIGHT</t>
  </si>
  <si>
    <t>LAMINATE_THICKNESS</t>
  </si>
  <si>
    <t>PREPREG_COUNT</t>
  </si>
  <si>
    <t>RAW_THICKNESS_TOL_MINUS</t>
  </si>
  <si>
    <t>RAW_THICKNESS_TOL_PLUS</t>
  </si>
  <si>
    <t>RESIN_PERCENTAGE</t>
  </si>
  <si>
    <t>TG_MAX</t>
  </si>
  <si>
    <t>TG_MIN</t>
  </si>
  <si>
    <t>CU_WEIGHT</t>
  </si>
  <si>
    <t>THICKNESS</t>
  </si>
  <si>
    <t>THICKNESS_TOL_MINUS</t>
  </si>
  <si>
    <t>THICKNESS_TOL_PLUS</t>
  </si>
  <si>
    <t>FAMILY</t>
  </si>
  <si>
    <t>GENERIC_NAME</t>
  </si>
  <si>
    <t>MRP_NAME</t>
  </si>
  <si>
    <t>MRP_REVISION</t>
  </si>
  <si>
    <t>MRP_REV_DESCRIPTION</t>
  </si>
  <si>
    <t>OBSOLETE</t>
  </si>
  <si>
    <t>SHEET_SIZE_X</t>
  </si>
  <si>
    <t>SHEET_SIZE_Y</t>
  </si>
  <si>
    <t>TYPE</t>
  </si>
  <si>
    <t>UNIT_TYPE</t>
  </si>
  <si>
    <t>VENDOR</t>
  </si>
  <si>
    <t>TOP_FOIL_CU_WEIGHT</t>
  </si>
  <si>
    <t>TOP_FOIL_THICKNESS</t>
  </si>
  <si>
    <t>TOP_FOIL_THICKNESS_TOL_MINUS</t>
  </si>
  <si>
    <t>TOP_FOIL_THICKNESS_TOL_PLUS</t>
  </si>
  <si>
    <t>BOT_FOIL_CU_WEIGHT</t>
  </si>
  <si>
    <t>BOT_FOIL_THICKNESS</t>
  </si>
  <si>
    <t>BOT_FOIL_THICKNESS_TOL_MINUS</t>
  </si>
  <si>
    <t>BOT_FOIL_THICKNESS_TOL_PLUS</t>
  </si>
  <si>
    <t>LAMINATE_THICKNESS_TOL_MINUS</t>
  </si>
  <si>
    <t>LAMINATE_THICKNESS_TOL_PLUS</t>
  </si>
  <si>
    <t>PREPREG</t>
  </si>
  <si>
    <t>CORE</t>
  </si>
  <si>
    <t>GLASS_PERMITTIVITY</t>
  </si>
  <si>
    <t>SITE_MATERIAL.COST</t>
  </si>
  <si>
    <t>SITE_MATERIAL.GRADE_PREFERENCE</t>
  </si>
  <si>
    <t>GLASS_THICKNESS</t>
  </si>
  <si>
    <t>MAX_ALLOW_RESIN_LOSS</t>
  </si>
  <si>
    <t>RAW_THICKNESS</t>
  </si>
  <si>
    <t>FOIL</t>
  </si>
  <si>
    <t>NAME</t>
  </si>
  <si>
    <t>SITE_MATERIAL.PARENT_SITE_NAME</t>
  </si>
  <si>
    <t>Quantity</t>
  </si>
  <si>
    <t>Prepreg</t>
  </si>
  <si>
    <t>PERMITTIVITY</t>
  </si>
  <si>
    <t>TOP_CU_THICKNESS</t>
  </si>
  <si>
    <t>TOP_CU_WEIGHT</t>
  </si>
  <si>
    <t>TOP_ADHESIVE_THICKNESS</t>
  </si>
  <si>
    <t>BOT_ADHESIVE_THICKNESS</t>
  </si>
  <si>
    <t>BOT_CU_THICKNESS</t>
  </si>
  <si>
    <t>BOT_CU_WEIGHT</t>
  </si>
  <si>
    <t>INSULATION_THICKNESS</t>
  </si>
  <si>
    <t>ADHESIVE_THICKNESS</t>
  </si>
  <si>
    <t>GLASS_TYPE</t>
  </si>
  <si>
    <t>SITE_MATERIAL.AVAILABILITY_1</t>
  </si>
  <si>
    <t>SITE_MATERIAL.AVAILABILITY_2</t>
  </si>
  <si>
    <t>SITE_MATERIAL.AVAILABILITY_3</t>
  </si>
  <si>
    <t>SITE_MATERIAL.ERP_CODE_NAME</t>
  </si>
  <si>
    <t>33N</t>
  </si>
  <si>
    <t>Arlon</t>
  </si>
  <si>
    <t>LAMINATE</t>
  </si>
  <si>
    <t>Polyamide</t>
  </si>
  <si>
    <t>Laminate</t>
  </si>
  <si>
    <t>ERI</t>
  </si>
  <si>
    <t>false</t>
  </si>
  <si>
    <t>CUSTOMER_TYPE</t>
  </si>
  <si>
    <t>Both</t>
  </si>
  <si>
    <t>CODE</t>
  </si>
  <si>
    <t>OPERATION_CODE</t>
  </si>
  <si>
    <t>SITE_NAME</t>
  </si>
  <si>
    <t>DESCRIPTION</t>
  </si>
  <si>
    <t>WORK_CENTER_CODE</t>
  </si>
  <si>
    <t>FLOW_NAME</t>
  </si>
  <si>
    <t>TYPE_OPTIONS</t>
  </si>
  <si>
    <t>F</t>
  </si>
  <si>
    <t>C</t>
  </si>
  <si>
    <t>SITE_MATERIAL.SITE_THICKNESS</t>
  </si>
  <si>
    <t>SITE_MATERIAL.SITE_THICKNESS_TOL_MINUS</t>
  </si>
  <si>
    <t>SITE_MATERIAL.SITE_THICKNESS_TOL_PLUS</t>
  </si>
  <si>
    <t>FLEX_CLAD</t>
  </si>
  <si>
    <t>BONDPLY</t>
  </si>
  <si>
    <t>ADHESIVE</t>
  </si>
  <si>
    <t>COVER_FILM</t>
  </si>
  <si>
    <t>GENERAL_ACCESSORY</t>
  </si>
  <si>
    <r>
      <t>NAME</t>
    </r>
    <r>
      <rPr>
        <b/>
        <sz val="9"/>
        <rFont val="細明體"/>
        <family val="3"/>
        <charset val="136"/>
      </rPr>
      <t/>
    </r>
  </si>
  <si>
    <t>Regular</t>
  </si>
  <si>
    <t>SIZE</t>
  </si>
  <si>
    <t>USAGE</t>
  </si>
  <si>
    <t>DRILL_BIT</t>
  </si>
  <si>
    <t>PTH}^{ NPTH}^{ Via}^{Micro Via}^{Plated Slot}^{Non-Plated Slot}^{Plated Rout}^{Non-Plated Rout</t>
  </si>
  <si>
    <t>Data collection tool</t>
  </si>
  <si>
    <t>2. Flex materials information (Flex clad , bondply ,adhesive , cover film , general accessory)</t>
  </si>
  <si>
    <t>B_STAGE_THICKNESS_TOL_MINUS</t>
  </si>
  <si>
    <t>B_STAGE_THICKNESS_TOL_PLUS</t>
  </si>
  <si>
    <t>C_STAGE_THICKNESS_TOL_MINUS</t>
  </si>
  <si>
    <t>C_STAGE_THICKNESS_TOL_PLUS</t>
  </si>
  <si>
    <t>FOIL_THICKNESS</t>
  </si>
  <si>
    <t>FOIL_THICKNESS_TOL_MINUS</t>
  </si>
  <si>
    <t>FOIL_THICKNESS_TOL_PLUS</t>
  </si>
  <si>
    <t>LAMINATE_B_STAGE_GLASS_PERMITTIVITY</t>
  </si>
  <si>
    <t>LAMINATE_B_STAGE_GLASS_THICKNESS</t>
  </si>
  <si>
    <t>LAMINATE_B_STAGE_RESIN_PERCENTAGE</t>
  </si>
  <si>
    <t>LAMINATE_B_STAGE_RESIN_PERMITTIVITY</t>
  </si>
  <si>
    <t>LAMINATE_B_STAGE_THICKNESS</t>
  </si>
  <si>
    <t>LAMINATE_C_STAGE_PERMITTIVITY</t>
  </si>
  <si>
    <t>LAMINATE_C_STAGE_RESIN_PERCENTAGE</t>
  </si>
  <si>
    <t>LAMINATE_C_STAGE_THICKNESS</t>
  </si>
  <si>
    <t>MAX_ALLOWED_RESIN_LOSS</t>
  </si>
  <si>
    <t>MIN_ALLOWED_THICKNESS</t>
  </si>
  <si>
    <t>Example</t>
  </si>
  <si>
    <t>test</t>
  </si>
  <si>
    <t>1.0</t>
  </si>
  <si>
    <t>inch</t>
  </si>
  <si>
    <t>mil</t>
  </si>
  <si>
    <t>oz</t>
  </si>
  <si>
    <t>gram</t>
  </si>
  <si>
    <t>micron</t>
  </si>
  <si>
    <t>mm</t>
  </si>
  <si>
    <t>MRP_DESCRIPTION</t>
  </si>
  <si>
    <t>Test RCF</t>
  </si>
  <si>
    <t>1. Rigid materials information (RCF, Prepreg , Core ,Laminate, Foil)</t>
  </si>
  <si>
    <t>3. Customer information</t>
  </si>
  <si>
    <t>4. Drill bits information</t>
  </si>
  <si>
    <t xml:space="preserve">5. MRP steps information </t>
  </si>
  <si>
    <t>Color Coding:</t>
  </si>
  <si>
    <t>Guidelines:</t>
  </si>
  <si>
    <t>1. Make sure that the information entered into the different fields is case sensitive.</t>
  </si>
  <si>
    <t>H</t>
  </si>
  <si>
    <t>T</t>
  </si>
  <si>
    <t>7628</t>
  </si>
  <si>
    <t>2116</t>
  </si>
  <si>
    <t>2313</t>
  </si>
  <si>
    <t>2113</t>
  </si>
  <si>
    <t>GLASS_STYLE</t>
  </si>
  <si>
    <t>Core</t>
  </si>
  <si>
    <t>Glass Epoxy</t>
  </si>
  <si>
    <t>SUB_FAMILY_</t>
  </si>
  <si>
    <t>#Dupe</t>
  </si>
  <si>
    <t>RESIN_FLOW_TYPE</t>
  </si>
  <si>
    <t>CLAD_TYPE</t>
  </si>
  <si>
    <t>TREATED_COPPER_TYPE</t>
  </si>
  <si>
    <t>FLEX_INSULATION_TYPE</t>
  </si>
  <si>
    <t>TOP_ADHESIVE_TYPE</t>
  </si>
  <si>
    <t>TOP_ADHESIVE_PERMITTIVITY</t>
  </si>
  <si>
    <t>INSULATION_MATERIAL_TYPE</t>
  </si>
  <si>
    <t>INSULATION_PERMITTIVITY</t>
  </si>
  <si>
    <t>BOT_ADHESIVE_TYPE</t>
  </si>
  <si>
    <t>BOT_ADHESIVE_PERMITTIVITY</t>
  </si>
  <si>
    <t>DUPONT</t>
  </si>
  <si>
    <t>Flex Clad</t>
  </si>
  <si>
    <t>Modified Acrylic Adhesive</t>
  </si>
  <si>
    <t>General</t>
  </si>
  <si>
    <t>INSULATION_DISSIPATION_FACTOR</t>
  </si>
  <si>
    <t>TOP_ADHESIVE_DISSIPATION_FACTOR</t>
  </si>
  <si>
    <t>BOT_ADHESIVE_DISSIPATION_FACTOR</t>
  </si>
  <si>
    <t>Standard</t>
  </si>
  <si>
    <t>ADHESIVE_PERMITTIVITY</t>
  </si>
  <si>
    <t>DISSIPATION_FACTOR</t>
  </si>
  <si>
    <t>ADHESIVE_TYPE</t>
  </si>
  <si>
    <t>Adhesive</t>
  </si>
  <si>
    <t>ADHESIVE_DISSIPATION_FACTOR</t>
  </si>
  <si>
    <t>Cover Film</t>
  </si>
  <si>
    <t>SHIELDING_INSULATION_THICKNESS</t>
  </si>
  <si>
    <t>SHIELDING_THICKNESS</t>
  </si>
  <si>
    <t>TATSUTA</t>
  </si>
  <si>
    <t>Mixed</t>
  </si>
  <si>
    <t>Copper Shield</t>
  </si>
  <si>
    <t>Silver Shield</t>
  </si>
  <si>
    <t>Bondply</t>
  </si>
  <si>
    <t>Copper Weight</t>
  </si>
  <si>
    <t>Code (Core)</t>
  </si>
  <si>
    <t>Code (Foil)</t>
  </si>
  <si>
    <t>Code (FlexClad)</t>
  </si>
  <si>
    <t>Thickness (Post-Process)</t>
  </si>
  <si>
    <t>E</t>
  </si>
  <si>
    <t>5µ</t>
  </si>
  <si>
    <t>Q</t>
  </si>
  <si>
    <t>9µ</t>
  </si>
  <si>
    <t>12µ</t>
  </si>
  <si>
    <t>18µ</t>
  </si>
  <si>
    <t>Insulator Thickness</t>
  </si>
  <si>
    <t>Microns</t>
  </si>
  <si>
    <t>Mils</t>
  </si>
  <si>
    <t>EMI_SHIELDING_FILM</t>
  </si>
  <si>
    <t>MATERIAL_FAMILY</t>
  </si>
  <si>
    <t>MATERIAL_TYPE</t>
  </si>
  <si>
    <t>COPPER_FOIL_PROFILE_</t>
  </si>
  <si>
    <t># 176 (Fixed)</t>
  </si>
  <si>
    <t># 178 (D-Enum)</t>
  </si>
  <si>
    <t># 208 (D-Enum)</t>
  </si>
  <si>
    <t># 179 (D-Enum)</t>
  </si>
  <si>
    <t># 3 (D-Enum)</t>
  </si>
  <si>
    <t># 24 (D-Enum)</t>
  </si>
  <si>
    <t># 177 (Fixed)</t>
  </si>
  <si>
    <t># 2 (Fixed)</t>
  </si>
  <si>
    <t>Any</t>
  </si>
  <si>
    <t>Unknown</t>
  </si>
  <si>
    <t>High Flow</t>
  </si>
  <si>
    <t>&lt;Not Defined&gt;</t>
  </si>
  <si>
    <t>Thermoset Flexible Adhesive</t>
  </si>
  <si>
    <t>FEP</t>
  </si>
  <si>
    <t>Low Flow</t>
  </si>
  <si>
    <t>Polyester</t>
  </si>
  <si>
    <t>ISOLA</t>
  </si>
  <si>
    <t>No Flow</t>
  </si>
  <si>
    <t>Reinforced Adhesive</t>
  </si>
  <si>
    <t>1067</t>
  </si>
  <si>
    <t>Epoxy Adhesive</t>
  </si>
  <si>
    <t>1078</t>
  </si>
  <si>
    <t>HVLP</t>
  </si>
  <si>
    <t>PSA</t>
  </si>
  <si>
    <t>1081</t>
  </si>
  <si>
    <t>CAC</t>
  </si>
  <si>
    <t>RD</t>
  </si>
  <si>
    <t>1501</t>
  </si>
  <si>
    <t>Custom Material</t>
  </si>
  <si>
    <t>Modified Polyimide Adhesive</t>
  </si>
  <si>
    <t>1506</t>
  </si>
  <si>
    <t>1652</t>
  </si>
  <si>
    <t>Raw Film</t>
  </si>
  <si>
    <t>Flex RCF</t>
  </si>
  <si>
    <t>General Accessory</t>
  </si>
  <si>
    <t>Mask</t>
  </si>
  <si>
    <t>Vendor</t>
  </si>
  <si>
    <t>Type</t>
  </si>
  <si>
    <t>TG</t>
  </si>
  <si>
    <t>FR4</t>
  </si>
  <si>
    <t>Lower CTE</t>
  </si>
  <si>
    <t>RoHS Compliant</t>
  </si>
  <si>
    <t>Lead Free</t>
  </si>
  <si>
    <t>Low DK</t>
  </si>
  <si>
    <t>Low DF</t>
  </si>
  <si>
    <t>Halogen Free</t>
  </si>
  <si>
    <t>Foil Type Avaibility</t>
  </si>
  <si>
    <t>IPC</t>
  </si>
  <si>
    <t>Isola</t>
  </si>
  <si>
    <t>FR406</t>
  </si>
  <si>
    <t>Tg 170</t>
  </si>
  <si>
    <t>Y</t>
  </si>
  <si>
    <t>N</t>
  </si>
  <si>
    <t>Standard HTE Grade 3
RTF (Reverse Treat Foil)</t>
  </si>
  <si>
    <t>IPC-4101D WAM1 /21 /24 /26</t>
  </si>
  <si>
    <t>FR408</t>
  </si>
  <si>
    <t>Tg 180</t>
  </si>
  <si>
    <t>Y (3.67)</t>
  </si>
  <si>
    <t>Y (0.0120)</t>
  </si>
  <si>
    <t>IPC-4101D WAM1 /24 /121 /124</t>
  </si>
  <si>
    <t>FR408HR</t>
  </si>
  <si>
    <t>Tg 190</t>
  </si>
  <si>
    <t>Standard HTE Grade 3
RTF (Reverse Treat Foil)
VLP-2 (2 micron)</t>
  </si>
  <si>
    <t>IPC-4101D WAM1 /98 /99 /101 /126
(IPC-4101C /21 /24 /26 /121 /124 /126)</t>
  </si>
  <si>
    <t>FR408HR IS</t>
  </si>
  <si>
    <t>Y (3.39)</t>
  </si>
  <si>
    <t>Y (?)</t>
  </si>
  <si>
    <t>#DUPE</t>
  </si>
  <si>
    <t>OUTER_ROUGHNESS</t>
  </si>
  <si>
    <t>INNER_ROUGHNESS</t>
  </si>
  <si>
    <t>IS_HF_</t>
  </si>
  <si>
    <t>IS_ROHS_</t>
  </si>
  <si>
    <t>LOW_DK_</t>
  </si>
  <si>
    <t>LOW_DF_</t>
  </si>
  <si>
    <t>DK_10G_</t>
  </si>
  <si>
    <t>DF_10G_</t>
  </si>
  <si>
    <t>RESIN_PERMITTIVITY</t>
  </si>
  <si>
    <t>GLASS_DISSIPATION_FACTOR</t>
  </si>
  <si>
    <t>RESIN_DISSIPATION_FACTOR</t>
  </si>
  <si>
    <t>GRAIN_DIRECTION</t>
  </si>
  <si>
    <t>FR4 (170)</t>
  </si>
  <si>
    <t>#Dupe?</t>
  </si>
  <si>
    <t>NOMINAL_THICKNESS_</t>
  </si>
  <si>
    <t>CORE_CONSTRUCTION_</t>
  </si>
  <si>
    <t>LAMINATE_PERMITTIVITY</t>
  </si>
  <si>
    <t>LAMINATE_DISSIPATION_FACTOR</t>
  </si>
  <si>
    <t>TOP_FOIL_OUTER_ROUGHNESS</t>
  </si>
  <si>
    <t>TOP_FOIL_INNER_ROUGHNESS</t>
  </si>
  <si>
    <t>BOT_FOIL_OUTER_ROUGHNESS</t>
  </si>
  <si>
    <t>BOT_FOIL_INNER_ROUGHNESS</t>
  </si>
  <si>
    <t>MATERIAL_CLASS_</t>
  </si>
  <si>
    <t>1x1080</t>
  </si>
  <si>
    <t>1x2113</t>
  </si>
  <si>
    <t xml:space="preserve">What can be done with this utility ? </t>
  </si>
  <si>
    <t>In case of problems or questions, please contact you Orbotech/Frontline Project Manager</t>
  </si>
  <si>
    <t>ED</t>
  </si>
  <si>
    <t>FR4 (180)</t>
  </si>
  <si>
    <t>FR4 (190)</t>
  </si>
  <si>
    <t>Polyimide</t>
  </si>
  <si>
    <t>FR</t>
  </si>
  <si>
    <t>PRODUCT_CODE_</t>
  </si>
  <si>
    <t>FR7010R</t>
  </si>
  <si>
    <t>FR7014R</t>
  </si>
  <si>
    <t>AP</t>
  </si>
  <si>
    <t>LF</t>
  </si>
  <si>
    <t>LF0110</t>
  </si>
  <si>
    <t>LF0120</t>
  </si>
  <si>
    <t>LF0130</t>
  </si>
  <si>
    <t>LF0100</t>
  </si>
  <si>
    <t>LF0200</t>
  </si>
  <si>
    <t>LF0300</t>
  </si>
  <si>
    <t>LF0400</t>
  </si>
  <si>
    <t>LF0111</t>
  </si>
  <si>
    <t>LF0121</t>
  </si>
  <si>
    <t>AA</t>
  </si>
  <si>
    <t>BB</t>
  </si>
  <si>
    <t>MATERIAL_ACCESSORY_TYPE</t>
  </si>
  <si>
    <t>SUS Stiffener</t>
  </si>
  <si>
    <t>USED_FOR_ADHESIVE</t>
  </si>
  <si>
    <t>USED_FOR_STIFFENER</t>
  </si>
  <si>
    <t>PC3100-C</t>
  </si>
  <si>
    <t>PC3300-C</t>
  </si>
  <si>
    <t>PC3500-C</t>
  </si>
  <si>
    <t>PC5600</t>
  </si>
  <si>
    <t>PC5900</t>
  </si>
  <si>
    <t>CTE</t>
  </si>
  <si>
    <t>digit</t>
  </si>
  <si>
    <t>1080</t>
  </si>
  <si>
    <t>370HR</t>
  </si>
  <si>
    <t>CAF Resistant</t>
  </si>
  <si>
    <t>SUS</t>
  </si>
  <si>
    <t>DuPont</t>
  </si>
  <si>
    <t>UL94_V0_</t>
  </si>
  <si>
    <t>RA, DT(RA), ED (0.5,1,2oz)</t>
  </si>
  <si>
    <t>IPC-4204A/1 FlexClad
IPC-4203A/1 Bondply, 4203A/18 Adhesive</t>
  </si>
  <si>
    <t>RA, DT(RA), ED (1/4,1/3,0.5,1,2oz)</t>
  </si>
  <si>
    <t>IPC-4204A/11 FlexClad</t>
  </si>
  <si>
    <t>AC</t>
  </si>
  <si>
    <t>RA, ED (1/4,1/3,0.5,1,2oz)</t>
  </si>
  <si>
    <t>IPC-4101D WAM1 /98 /99 /101 /126
(IPC-4101C /21 /24 /26 /97 /98 /99 /101 /126)</t>
  </si>
  <si>
    <t>Pansonic</t>
  </si>
  <si>
    <t>Megtron7 R-5785(N)</t>
  </si>
  <si>
    <t>Tg 200</t>
  </si>
  <si>
    <t>Y (3.4)</t>
  </si>
  <si>
    <t>Y (0.001)</t>
  </si>
  <si>
    <t>H-VLP</t>
  </si>
  <si>
    <t>Megtron6 R-5775(N)</t>
  </si>
  <si>
    <t>Tg 185</t>
  </si>
  <si>
    <t>Y (0.0015)</t>
  </si>
  <si>
    <t>Megtron6 R-5775</t>
  </si>
  <si>
    <t>Y (3.7)</t>
  </si>
  <si>
    <t>Y (0.002)</t>
  </si>
  <si>
    <t>Megtron4S R-5725S</t>
  </si>
  <si>
    <t>Y (3.8)</t>
  </si>
  <si>
    <t>Y (0.005)</t>
  </si>
  <si>
    <t>RT</t>
  </si>
  <si>
    <t>Megtron4 R-5725</t>
  </si>
  <si>
    <t>Tg 176</t>
  </si>
  <si>
    <t>DIELECTRIC_THICKNESS_</t>
  </si>
  <si>
    <t>#Unints_</t>
  </si>
  <si>
    <t>Imperial</t>
  </si>
  <si>
    <t>Need to fill manually</t>
  </si>
  <si>
    <t>Need to fill manually (optional)</t>
  </si>
  <si>
    <t>#Units</t>
  </si>
  <si>
    <t>IS415</t>
  </si>
  <si>
    <t>Y (3.72)</t>
  </si>
  <si>
    <t>E-Glass</t>
  </si>
  <si>
    <t>COLOR</t>
  </si>
  <si>
    <t>MASK_TYPE</t>
  </si>
  <si>
    <t>Solder Mask</t>
  </si>
  <si>
    <t>Silk Screen</t>
  </si>
  <si>
    <t>Yellow</t>
  </si>
  <si>
    <t>White</t>
  </si>
  <si>
    <t>Green</t>
  </si>
  <si>
    <t>1027</t>
  </si>
  <si>
    <t>SUB_TYPE_</t>
  </si>
  <si>
    <t>TG_TYPE_</t>
  </si>
  <si>
    <t>High TG (&gt;=170)</t>
  </si>
  <si>
    <t>DK_01G_</t>
  </si>
  <si>
    <t>DK_02G_</t>
  </si>
  <si>
    <t>DK_03G_</t>
  </si>
  <si>
    <t>DK_04G_</t>
  </si>
  <si>
    <t>DK_05G_</t>
  </si>
  <si>
    <t>DK_06G_</t>
  </si>
  <si>
    <t>DF_01G_</t>
  </si>
  <si>
    <t>DF_02G_</t>
  </si>
  <si>
    <t>DF_03G_</t>
  </si>
  <si>
    <t>DF_04G_</t>
  </si>
  <si>
    <t>DF_05G_</t>
  </si>
  <si>
    <t>DF_06G_</t>
  </si>
  <si>
    <t>DK_07G_</t>
  </si>
  <si>
    <t>DK_08G_</t>
  </si>
  <si>
    <t>DK_09G_</t>
  </si>
  <si>
    <t>DK_15G_</t>
  </si>
  <si>
    <t>DK_20G_</t>
  </si>
  <si>
    <t>DK_25G_</t>
  </si>
  <si>
    <t>DK_30G_</t>
  </si>
  <si>
    <t>DK_35G_</t>
  </si>
  <si>
    <t>DK_40G_</t>
  </si>
  <si>
    <t>DK_45G_</t>
  </si>
  <si>
    <t>DK_50G_</t>
  </si>
  <si>
    <t>DF_07G_</t>
  </si>
  <si>
    <t>DF_08G_</t>
  </si>
  <si>
    <t>DF_09G_</t>
  </si>
  <si>
    <t>DF_15G_</t>
  </si>
  <si>
    <t>DF_20G_</t>
  </si>
  <si>
    <t>DF_25G_</t>
  </si>
  <si>
    <t>DF_30G_</t>
  </si>
  <si>
    <t>DF_35G_</t>
  </si>
  <si>
    <t>DF_40G_</t>
  </si>
  <si>
    <t>DF_45G_</t>
  </si>
  <si>
    <t>DF_50G_</t>
  </si>
  <si>
    <t>#Unints</t>
  </si>
  <si>
    <t>Document History:</t>
  </si>
  <si>
    <t>==============================================</t>
  </si>
  <si>
    <t># Show Size</t>
  </si>
  <si>
    <t>CONTAINS_7628_</t>
  </si>
  <si>
    <t>v7.0 -- 2017-07-17</t>
  </si>
  <si>
    <t xml:space="preserve">   Re-order the columns, move all the columns to the right if they are set by formular</t>
  </si>
  <si>
    <t xml:space="preserve">   Merged the columns steve add</t>
  </si>
  <si>
    <t xml:space="preserve">This utility will help in defining the following libraries in InPlan, InPlanFlex and ISD : </t>
  </si>
  <si>
    <t xml:space="preserve">   Re-define the columns background</t>
  </si>
  <si>
    <t>COUNTRY_</t>
  </si>
  <si>
    <t>COUNTRY_CODE_</t>
  </si>
  <si>
    <t>RIGID_</t>
  </si>
  <si>
    <t>DK_12G_</t>
  </si>
  <si>
    <t>DK_18G_</t>
  </si>
  <si>
    <t>DF_12G_</t>
  </si>
  <si>
    <t>DF_18G_</t>
  </si>
  <si>
    <t>IPC_21_</t>
  </si>
  <si>
    <t>IPC_24_</t>
  </si>
  <si>
    <t>IPC_26_</t>
  </si>
  <si>
    <t>IPC_97_</t>
  </si>
  <si>
    <t>IPC_98_</t>
  </si>
  <si>
    <t>IPC_99_</t>
  </si>
  <si>
    <t>IPC_101_</t>
  </si>
  <si>
    <t>IPC_124_</t>
  </si>
  <si>
    <t>IPC_126_</t>
  </si>
  <si>
    <t>IPC Core Tolerance</t>
  </si>
  <si>
    <t>min</t>
  </si>
  <si>
    <t>max</t>
  </si>
  <si>
    <t>Class B</t>
  </si>
  <si>
    <t>Class C</t>
  </si>
  <si>
    <t>Class A</t>
  </si>
  <si>
    <t>#IPC THICKNESS</t>
  </si>
  <si>
    <t>#Laminate Thickness in Mic</t>
  </si>
  <si>
    <t xml:space="preserve">   Set Core Laminate Tolerance base on IPC Class A,B,C</t>
  </si>
  <si>
    <t>GLASS_FABRIC_</t>
  </si>
  <si>
    <t>#Size X</t>
  </si>
  <si>
    <t>#Size Y</t>
  </si>
  <si>
    <t>RESIN_CONTENT_</t>
  </si>
  <si>
    <t>#Grain Size</t>
  </si>
  <si>
    <t>Metric</t>
  </si>
  <si>
    <t>FR409</t>
  </si>
  <si>
    <t>v7.1 -- 2017-07-19</t>
  </si>
  <si>
    <t>Thickness (Raw) [Micron]</t>
  </si>
  <si>
    <t>Thickness (Raw) [Mils]</t>
  </si>
  <si>
    <t>CORE (oz)</t>
  </si>
  <si>
    <t>Flex Clad (oz)</t>
  </si>
  <si>
    <t>CU_TYPE_</t>
  </si>
  <si>
    <t>CU_PROFILE_</t>
  </si>
  <si>
    <t>CU_TYPE_IPC_</t>
  </si>
  <si>
    <t>#Product Code</t>
  </si>
  <si>
    <t>v7.3 -- 2017-08-01</t>
  </si>
  <si>
    <t>v7.2 -- 2017-07-20</t>
  </si>
  <si>
    <t>RTF</t>
  </si>
  <si>
    <t>STD</t>
  </si>
  <si>
    <t>LP</t>
  </si>
  <si>
    <t>VLP</t>
  </si>
  <si>
    <t>Tol in Micron</t>
  </si>
  <si>
    <t>Tol in Mil</t>
  </si>
  <si>
    <t>#IPC Tol In Micron</t>
  </si>
  <si>
    <t>#IPC Tol In Mil</t>
  </si>
  <si>
    <t>#Copper Weight Combination</t>
  </si>
  <si>
    <t>DATA_SOURCE_</t>
  </si>
  <si>
    <t>Change TG_Type to Normal Tg (130-150), Middle TG (150-170), High TG (&gt;=170)</t>
  </si>
  <si>
    <t>Normal TG (&lt;150)</t>
  </si>
  <si>
    <t>Middle TG (150-170)</t>
  </si>
  <si>
    <t>v7.4 -- 2017-11-03</t>
  </si>
  <si>
    <t>PACKAGE_NAME_</t>
  </si>
  <si>
    <t>FLOW_NAME_</t>
  </si>
  <si>
    <t>TRAV_SECT_A_N</t>
  </si>
  <si>
    <t>TRAV_SECT_O_Z</t>
  </si>
  <si>
    <t>EM-285</t>
  </si>
  <si>
    <t>EM-370(D)</t>
  </si>
  <si>
    <t xml:space="preserve">   Format the MASK_MATERIAL and LAMINITE sheet</t>
  </si>
  <si>
    <t xml:space="preserve">   Define the copper weight combination area in CuWtTrans Sheet (Do not implement macro yet)</t>
  </si>
  <si>
    <t xml:space="preserve">  Impelement the Copper Combination and released to Customer A</t>
  </si>
  <si>
    <t xml:space="preserve">   Finalized the UDA names and Enum values after the meeting with Ben and Steve, like CU_TYPE_, CU_PROFILE_, etc</t>
  </si>
  <si>
    <t xml:space="preserve">   Fix the Macro issue when there is no copper combinations</t>
  </si>
  <si>
    <t xml:space="preserve">   Set the Prepreg Thickness Tolerance by IPC Class</t>
  </si>
  <si>
    <t xml:space="preserve">   Fix the formular for calculate LAMINATE_THICKNESS of Core</t>
  </si>
  <si>
    <t xml:space="preserve">   Support when export MRP STEPS, it create related Section Flow and Parameter Flow for Each MRP STEPS</t>
  </si>
  <si>
    <t xml:space="preserve">   The output file name like TravSectFlow.xml. Need import this xml file before import MRP Steps</t>
  </si>
  <si>
    <t>DRY FILM 1</t>
  </si>
  <si>
    <t>DRY FILM 2</t>
  </si>
  <si>
    <t>DRY FILM 3</t>
  </si>
  <si>
    <t>MATERIAL_SUB_TYPE</t>
  </si>
  <si>
    <t>MEASUREMENT_UNITS</t>
  </si>
  <si>
    <t>BOARD_MATERIAL</t>
  </si>
  <si>
    <t>Unitless</t>
  </si>
  <si>
    <t>boolean</t>
  </si>
  <si>
    <t>string</t>
  </si>
  <si>
    <t>date</t>
  </si>
  <si>
    <t>duration</t>
  </si>
  <si>
    <t>percentage</t>
  </si>
  <si>
    <t># 63 (D-Enum)</t>
  </si>
  <si>
    <t>Solder Paste</t>
  </si>
  <si>
    <t>Carbon Mask</t>
  </si>
  <si>
    <t>Gold Mask</t>
  </si>
  <si>
    <t>Cover Coat</t>
  </si>
  <si>
    <t>Button Plate</t>
  </si>
  <si>
    <t>Silver Plate</t>
  </si>
  <si>
    <t>Protective Etch</t>
  </si>
  <si>
    <t>General Conductive Plate</t>
  </si>
  <si>
    <t>Via Plug</t>
  </si>
  <si>
    <t>General Mask</t>
  </si>
  <si>
    <t>MASK_MATERIAL_COLOR</t>
  </si>
  <si>
    <t># 214 (D-Enum)</t>
  </si>
  <si>
    <t>Black</t>
  </si>
  <si>
    <t>CUSTOM_MATERIAL</t>
  </si>
  <si>
    <t>v7.5 -- 2018-03-31</t>
  </si>
  <si>
    <t xml:space="preserve">   Add CUSTOM_MATERIAL data sheet</t>
  </si>
  <si>
    <t>#183 (D-Enum)</t>
  </si>
  <si>
    <t>FR4 Stiffener</t>
  </si>
  <si>
    <t>v7.6 -- 2018-06-20</t>
  </si>
  <si>
    <t xml:space="preserve">  Set MATERIAL_ACCESSORY_TYPE in Enum for General Accessory material</t>
  </si>
  <si>
    <t xml:space="preserve">  Set Working Center in TravSectFlow.xml</t>
  </si>
  <si>
    <t xml:space="preserve"> Recommand not change the formular</t>
  </si>
  <si>
    <t>Generated Automatically by Formular,</t>
  </si>
  <si>
    <t>Optional, set automatically by default,</t>
  </si>
  <si>
    <t>Columns start with # will be ignored when import the schema,</t>
  </si>
  <si>
    <t xml:space="preserve">   these are used as reference for formular, do not delete</t>
  </si>
  <si>
    <t xml:space="preserve"> change the formular or change manually if needed</t>
  </si>
  <si>
    <r>
      <rPr>
        <sz val="10"/>
        <color theme="10"/>
        <rFont val="Arial"/>
        <family val="2"/>
      </rPr>
      <t xml:space="preserve">         </t>
    </r>
    <r>
      <rPr>
        <u/>
        <sz val="10"/>
        <color theme="10"/>
        <rFont val="Arial"/>
        <family val="2"/>
      </rPr>
      <t>inplan_support@frontline-pcb.com</t>
    </r>
  </si>
  <si>
    <t>6. Custom Materials information</t>
  </si>
  <si>
    <t>Version: 7.7</t>
  </si>
  <si>
    <t>v7.7 -- 2018-12-04</t>
  </si>
  <si>
    <t>Version date : Dec 04, 2018</t>
  </si>
  <si>
    <t xml:space="preserve">  Fix Macro issue to avoid creating redundant Core/Flex materials when output xml file</t>
  </si>
  <si>
    <t>VN</t>
  </si>
  <si>
    <t>Rogers</t>
  </si>
  <si>
    <t>Dupont</t>
  </si>
  <si>
    <t>Itech</t>
  </si>
  <si>
    <t>Tatsuta</t>
  </si>
  <si>
    <t>Taiyo</t>
  </si>
  <si>
    <t xml:space="preserve">Huntsman </t>
  </si>
  <si>
    <t xml:space="preserve">PSR-2000 CE823HF </t>
  </si>
  <si>
    <t>CA-25 CE81</t>
  </si>
  <si>
    <t>Screen</t>
  </si>
  <si>
    <t>Glossy</t>
  </si>
  <si>
    <t>Yes</t>
  </si>
  <si>
    <t>Not</t>
  </si>
  <si>
    <t xml:space="preserve">PSR-2000 CE811HF </t>
  </si>
  <si>
    <t xml:space="preserve">CA-25 CE811 </t>
  </si>
  <si>
    <t>PSR-2000 CE811TIBL3</t>
  </si>
  <si>
    <t>CA-25 CE813</t>
  </si>
  <si>
    <t>Blue</t>
  </si>
  <si>
    <t xml:space="preserve">PSR-4000 AM03TS </t>
  </si>
  <si>
    <t xml:space="preserve">CA-40AM03TM </t>
  </si>
  <si>
    <t>PSR-4000 EG70M</t>
  </si>
  <si>
    <t>CA-40G50</t>
  </si>
  <si>
    <t>PSR-4000 SP08T3</t>
  </si>
  <si>
    <t>CA-40 SP08</t>
  </si>
  <si>
    <t>E-Spray</t>
  </si>
  <si>
    <t xml:space="preserve">PSR-4000 AM02SP </t>
  </si>
  <si>
    <t>CA-40 AM02SP</t>
  </si>
  <si>
    <t>PSR-2000 FR603W1</t>
  </si>
  <si>
    <t>PSR-4000 MH</t>
  </si>
  <si>
    <t>PSR-2000 CE880E</t>
  </si>
  <si>
    <t>PSR-4000 AM05TS</t>
  </si>
  <si>
    <t>Probimer77/7179</t>
  </si>
  <si>
    <t>Probimer77/7180</t>
  </si>
  <si>
    <t>SR-500 DMK20</t>
  </si>
  <si>
    <t>Taiwan</t>
  </si>
  <si>
    <t>PSR-4000 AM81</t>
  </si>
  <si>
    <t>PSR-4000 G23K</t>
  </si>
  <si>
    <t>CA-40G23K</t>
  </si>
  <si>
    <t>PSR-4000 BL01</t>
  </si>
  <si>
    <t>CA-40 G24</t>
  </si>
  <si>
    <t>PSR-4000 EG23</t>
  </si>
  <si>
    <t>PSR-4000 EG30</t>
  </si>
  <si>
    <t>PSR-4000 AM10SP</t>
  </si>
  <si>
    <t>CA-40 AM10SP</t>
  </si>
  <si>
    <t>05010163</t>
  </si>
  <si>
    <t>05010116</t>
  </si>
  <si>
    <t>05010115</t>
  </si>
  <si>
    <t>05110411</t>
  </si>
  <si>
    <t>05010124</t>
  </si>
  <si>
    <t>05010204</t>
  </si>
  <si>
    <t>05110415</t>
  </si>
  <si>
    <t>05010101</t>
  </si>
  <si>
    <t>05110507</t>
  </si>
  <si>
    <t>05010196</t>
  </si>
  <si>
    <t>05020110</t>
  </si>
  <si>
    <t>AE1125HD</t>
  </si>
  <si>
    <t>Red</t>
  </si>
  <si>
    <t>AE1125DS</t>
  </si>
  <si>
    <t>THP-100 Z2</t>
  </si>
  <si>
    <t>PHP-900IR 10FE</t>
  </si>
  <si>
    <t xml:space="preserve">Sanei </t>
  </si>
  <si>
    <t>PSR-4000 PF9</t>
  </si>
  <si>
    <t xml:space="preserve">CA-40 PF9 </t>
  </si>
  <si>
    <t>PSR-4000 PF10</t>
  </si>
  <si>
    <t xml:space="preserve">CA-40 PF10 </t>
  </si>
  <si>
    <t>THP-100DX7</t>
  </si>
  <si>
    <t>05050102</t>
  </si>
  <si>
    <t>05050101</t>
  </si>
  <si>
    <t>05010191</t>
  </si>
  <si>
    <t>05100206</t>
  </si>
  <si>
    <t>05010179</t>
  </si>
  <si>
    <t>S-200Y ND</t>
  </si>
  <si>
    <t>05020203</t>
  </si>
  <si>
    <t>05020201</t>
  </si>
  <si>
    <t>05020207</t>
  </si>
  <si>
    <t>Resin Plug</t>
  </si>
  <si>
    <t>Solder Plug</t>
  </si>
  <si>
    <t>05110421</t>
  </si>
  <si>
    <t>CA-25 FR603</t>
  </si>
  <si>
    <t>HD-3</t>
  </si>
  <si>
    <t>CA-66</t>
  </si>
  <si>
    <t>NECディスプレイソリューションズ株式会社</t>
  </si>
  <si>
    <t>NECプラットフォームズ株式会社</t>
  </si>
  <si>
    <t>EPSON(株)</t>
  </si>
  <si>
    <t>東芝ライテック株式会社（旧 株式会社LDF））</t>
  </si>
  <si>
    <t>エルピーダメモリ（株）</t>
  </si>
  <si>
    <t>エーシック株式会社</t>
  </si>
  <si>
    <t>エブレン株式会社</t>
  </si>
  <si>
    <t>MTEXマツムラ</t>
  </si>
  <si>
    <t>NECエンべデッドプロダクツ（株</t>
  </si>
  <si>
    <t>HTC</t>
  </si>
  <si>
    <t>エム・イーテクノ・ケイ株式会社</t>
  </si>
  <si>
    <t>NSウエスト（株）</t>
  </si>
  <si>
    <t>AITジャパン</t>
  </si>
  <si>
    <t>アルパイン</t>
  </si>
  <si>
    <t>Ally Japan株式会社</t>
  </si>
  <si>
    <t>アプリコット</t>
  </si>
  <si>
    <t>アヅミエンジニア</t>
  </si>
  <si>
    <t>アイホン㈱</t>
  </si>
  <si>
    <t>ARIMA</t>
  </si>
  <si>
    <t>アマノ</t>
  </si>
  <si>
    <t>アート技研</t>
  </si>
  <si>
    <t>アルパイン株式会社</t>
  </si>
  <si>
    <t>アルプス電気　ベリフェラル事業部</t>
  </si>
  <si>
    <t>アイシン・エィ・ダブリュ株式会社</t>
  </si>
  <si>
    <t>アルプス・グリーンデバイス株式会社</t>
  </si>
  <si>
    <t>アルテック</t>
  </si>
  <si>
    <t>株式会社アットマークテクノ</t>
  </si>
  <si>
    <t>インテル</t>
  </si>
  <si>
    <t>FDK株式会社</t>
  </si>
  <si>
    <t>㈱石井表記</t>
  </si>
  <si>
    <t>イトー</t>
  </si>
  <si>
    <t>幸大ハイテック</t>
  </si>
  <si>
    <t>因幡電機産業</t>
  </si>
  <si>
    <t>伊藤電子工業</t>
  </si>
  <si>
    <t>ウイング</t>
  </si>
  <si>
    <t>エレテックス</t>
  </si>
  <si>
    <t>ＭＤＳ　シスコム</t>
  </si>
  <si>
    <t>ＮＥＣワイヤレスネットワークス</t>
  </si>
  <si>
    <t>セイコーエプソン株式会社</t>
  </si>
  <si>
    <t>エスケー電子</t>
  </si>
  <si>
    <t>株式会社エスアイエレクトロニクス</t>
  </si>
  <si>
    <t>エルメックス(株)</t>
  </si>
  <si>
    <t>ＮＴＴエレクトロニクス（ＮＥＬ）</t>
  </si>
  <si>
    <t>オリンピア産業株式会社</t>
  </si>
  <si>
    <t>株式会社ＯＡ研究所</t>
  </si>
  <si>
    <t>大井電気株式会社</t>
  </si>
  <si>
    <t>大森電機工業（株）</t>
  </si>
  <si>
    <t>(株)オプテック</t>
  </si>
  <si>
    <t>株式会社日立情報通信マニュファクチャリング</t>
  </si>
  <si>
    <t>オリオン電機(株)</t>
  </si>
  <si>
    <t>オリンパス（株）</t>
  </si>
  <si>
    <t>オムロン株式会社</t>
  </si>
  <si>
    <t>オムロンオートモーティブエレクトロニクス株式会社</t>
  </si>
  <si>
    <t>オクト産業（株）</t>
  </si>
  <si>
    <t>オムロン(株)IAB</t>
  </si>
  <si>
    <t>(株）ユニバーサルエンター</t>
  </si>
  <si>
    <t>アルファーテック</t>
  </si>
  <si>
    <t>アルプス</t>
  </si>
  <si>
    <t>アサヒ電子</t>
  </si>
  <si>
    <t>パナソニック液晶ディスプレイ株式会社</t>
  </si>
  <si>
    <t>アールアンドケー　Ｒ＆Ｋ</t>
  </si>
  <si>
    <t>（株）アテナスマートカードソリューションズ</t>
  </si>
  <si>
    <t>アイメス</t>
  </si>
  <si>
    <t>アンデス電気</t>
  </si>
  <si>
    <t>アルパイン技研</t>
  </si>
  <si>
    <t>アート電子㈱</t>
  </si>
  <si>
    <t>パナソニック液晶ディスプレイ</t>
  </si>
  <si>
    <t>アオイ電子</t>
  </si>
  <si>
    <t>シャ－プ(株)通信システム事業本</t>
  </si>
  <si>
    <t>CK Telecom Corporation</t>
  </si>
  <si>
    <t>芝電子システムズ</t>
  </si>
  <si>
    <t>静岡パイオニア</t>
  </si>
  <si>
    <t>新電元工業㈱</t>
  </si>
  <si>
    <t>Shanghai Tricheer Technology Co.,Ltd.</t>
  </si>
  <si>
    <t>信和電業社</t>
  </si>
  <si>
    <t>尚和製作所</t>
  </si>
  <si>
    <t>大丸興業</t>
  </si>
  <si>
    <t>島根三洋電機（株）</t>
  </si>
  <si>
    <t>島田理化工業株式会社</t>
  </si>
  <si>
    <t>シャープ㈱AVC</t>
  </si>
  <si>
    <t>シグマ</t>
  </si>
  <si>
    <t>コンチネンタル（シーメンス）</t>
  </si>
  <si>
    <t>ＣＰＳ（シーピーエス）</t>
  </si>
  <si>
    <t>シャープ新潟</t>
  </si>
  <si>
    <t>サン電子工業</t>
  </si>
  <si>
    <t>三洋オートメディア㈱</t>
  </si>
  <si>
    <t>三洋電機電子デバイスカンパニー</t>
  </si>
  <si>
    <t>三洋電機株式会社エナジー社</t>
  </si>
  <si>
    <t>三興電子</t>
  </si>
  <si>
    <t>東芝デバイス＆ストレージ社</t>
  </si>
  <si>
    <t>東芝映像ソリューション株式会社</t>
  </si>
  <si>
    <t>トランストロン</t>
  </si>
  <si>
    <t>東芝／府中</t>
  </si>
  <si>
    <t>トロンデュール</t>
  </si>
  <si>
    <t>Tonly Electronics</t>
  </si>
  <si>
    <t>㈱トーア電子</t>
  </si>
  <si>
    <t>東芝ホームアプライアンス㈱</t>
  </si>
  <si>
    <t>沖電気コミュニケーションズ</t>
  </si>
  <si>
    <t>（株）トプコン</t>
  </si>
  <si>
    <t>豊田通商</t>
  </si>
  <si>
    <t xml:space="preserve">GoerTek </t>
  </si>
  <si>
    <t>加賀電子(株)</t>
  </si>
  <si>
    <t>カラーリンク·ジャパン「株」</t>
  </si>
  <si>
    <t>神田通信</t>
  </si>
  <si>
    <t>カズテクニカ（ケンウッド）</t>
  </si>
  <si>
    <t>カルソニックカンセイ（株）</t>
  </si>
  <si>
    <t>加賀コンポーネント</t>
  </si>
  <si>
    <t>カウベルエンジニアリング</t>
  </si>
  <si>
    <t>キャノン電子</t>
  </si>
  <si>
    <t>京セラ(株)　三重伊勢工場</t>
  </si>
  <si>
    <t>京三製作所</t>
  </si>
  <si>
    <t>キヤノン㈱矢向事業所</t>
  </si>
  <si>
    <t>加美電機</t>
  </si>
  <si>
    <t>大分キャノン（株）</t>
  </si>
  <si>
    <t>協同電子</t>
  </si>
  <si>
    <t>京セラ／用賀</t>
  </si>
  <si>
    <t>キヤノン下丸子　　</t>
  </si>
  <si>
    <t>(株)キャロットシステムズ</t>
  </si>
  <si>
    <t>京セラドキュメント</t>
  </si>
  <si>
    <t>パナソニックコミュニケーションズ</t>
  </si>
  <si>
    <t>佳能珠海</t>
  </si>
  <si>
    <t>北芝電機</t>
  </si>
  <si>
    <t>旭光電機</t>
  </si>
  <si>
    <t>キリンンテクノシステム</t>
  </si>
  <si>
    <t>京セラ（株）横浜事業所</t>
  </si>
  <si>
    <t>デンソー（黒田電気）</t>
  </si>
  <si>
    <t>黒田電気名古屋営業所</t>
  </si>
  <si>
    <t>黒田電気／東洋電装</t>
  </si>
  <si>
    <t>久米電気</t>
  </si>
  <si>
    <t>クローバー電子</t>
  </si>
  <si>
    <t>クラリオン</t>
  </si>
  <si>
    <t>クラリオン 水戸</t>
  </si>
  <si>
    <t>（株）クリオ</t>
  </si>
  <si>
    <t>デンソーテネシー（黒田電気）</t>
  </si>
  <si>
    <t>黒田電気（株）</t>
  </si>
  <si>
    <t>黒田電気（株）立川営業所</t>
  </si>
  <si>
    <t>黒田電気/デンソー　チェコ/バルセロナ</t>
  </si>
  <si>
    <t>黒田電気/デンソー（黒田電気・安城（DNJN））</t>
  </si>
  <si>
    <t>黒田電気/デンソー（マレーシア/ハリアナ）</t>
  </si>
  <si>
    <t>Quanta</t>
  </si>
  <si>
    <t>黒田電気(株)安城営業所</t>
  </si>
  <si>
    <t>㈱デンソー</t>
  </si>
  <si>
    <t>黒田電気香港</t>
  </si>
  <si>
    <t>黒田電気（株）/アスモ</t>
  </si>
  <si>
    <t>ケー・ユー技研</t>
  </si>
  <si>
    <t>ケーヒン</t>
  </si>
  <si>
    <t>(株)ケーアイテクノロジー</t>
  </si>
  <si>
    <t>光洋電子工業株式会社</t>
  </si>
  <si>
    <t>小松製作所（コマツ）</t>
  </si>
  <si>
    <t>小松エレクトロニクス㈱</t>
  </si>
  <si>
    <t>(株)小系製作所 静岡工場</t>
  </si>
  <si>
    <t>コア</t>
  </si>
  <si>
    <t>CEI</t>
  </si>
  <si>
    <t>コニカミノルタプロダクト</t>
  </si>
  <si>
    <t>グローリー</t>
  </si>
  <si>
    <t>グローリー㈱</t>
  </si>
  <si>
    <t>SAMSUNG LED CO.,LTD</t>
  </si>
  <si>
    <t>佐鳥電機（株）</t>
  </si>
  <si>
    <t>京セラ㈱大阪大東営業所</t>
  </si>
  <si>
    <t>サミー</t>
  </si>
  <si>
    <t>株式会社サンシン</t>
  </si>
  <si>
    <t>サンミナＳＣＩ</t>
  </si>
  <si>
    <t>パナソニック株式会社（三洋電機）</t>
  </si>
  <si>
    <t>株式会社ザクティ（旧三洋電機）</t>
  </si>
  <si>
    <t>三幸セミコンダクター（株）</t>
  </si>
  <si>
    <t>三洋電波</t>
  </si>
  <si>
    <t>㈱シマノ</t>
  </si>
  <si>
    <t>Stanley Electric</t>
  </si>
  <si>
    <t>ShineOn(Beijing)Technology</t>
  </si>
  <si>
    <t>Quectel Wireless Solutions Co.,Ltd.</t>
  </si>
  <si>
    <t>㈱シキノハイテック</t>
  </si>
  <si>
    <t>株式会社島精機製作所</t>
  </si>
  <si>
    <t>Huaqin</t>
  </si>
  <si>
    <t>Shenzhen Doov Technology Co.,Ltd.</t>
  </si>
  <si>
    <t>Shenzhen Bens Intelligent Electric Appliance Co.,Ltd.</t>
  </si>
  <si>
    <t>シャープ(株)AVシステム事業本部</t>
  </si>
  <si>
    <t>シャープ㈱八尾（シャープ健康・環境）</t>
  </si>
  <si>
    <t>Simcom (Shanghai) Co.,Ltd</t>
  </si>
  <si>
    <t>Shenzhen Basicom Electronic Co., Ltd.</t>
  </si>
  <si>
    <t>新光商事</t>
  </si>
  <si>
    <t>FXMFG(富士ゼロックスマニュファクチャリング）</t>
  </si>
  <si>
    <t>住友電装／豊田通商</t>
  </si>
  <si>
    <t>住友商事マシネックス</t>
  </si>
  <si>
    <t>Stanley Electric U.S.Co.Inc.</t>
  </si>
  <si>
    <t>成電社</t>
  </si>
  <si>
    <t>セイコーインスツルメンツ　ＳＩＩ</t>
  </si>
  <si>
    <t>セガ</t>
  </si>
  <si>
    <t>センサーテクノロジー株式会社</t>
  </si>
  <si>
    <t>仙台ニコン</t>
  </si>
  <si>
    <t>船場電気化材(株)</t>
  </si>
  <si>
    <t>セコム</t>
  </si>
  <si>
    <t>(株)セルコ</t>
  </si>
  <si>
    <t>セルスター工業㈱</t>
  </si>
  <si>
    <t>Celestice Electronics (M) Sdn.</t>
  </si>
  <si>
    <t>セイコーエプソン</t>
  </si>
  <si>
    <t>ソニー株式会社</t>
  </si>
  <si>
    <t>ソキア</t>
  </si>
  <si>
    <t>ｿﾆｰｲｰｴﾑｼｰｴｽ㈱幸田テック</t>
  </si>
  <si>
    <t>ケイテック</t>
  </si>
  <si>
    <t>ソニーエナジー·デバイス（株）</t>
  </si>
  <si>
    <t>ソニーマニュファクチュアリングシステムズ㈱</t>
  </si>
  <si>
    <t>ソニーイーエムシーエス㈱</t>
  </si>
  <si>
    <t>ソニー（株）ビデオ事業部</t>
  </si>
  <si>
    <t>SONOS</t>
  </si>
  <si>
    <t>ソニーマレーシア</t>
  </si>
  <si>
    <t>ザナヴィ・インフォマティクス</t>
  </si>
  <si>
    <t>十字電子</t>
  </si>
  <si>
    <t>（株）JOLED</t>
  </si>
  <si>
    <t>東莞ティアック</t>
  </si>
  <si>
    <t>DongGuan Goldex Communication Technology Co.,Ltd.</t>
  </si>
  <si>
    <t>サクサ　（旧　田村電機製作所）</t>
  </si>
  <si>
    <t>サクサホールディングス株式会社</t>
  </si>
  <si>
    <t>タイム技研</t>
  </si>
  <si>
    <t>田淵電機</t>
  </si>
  <si>
    <t>田渊电机（株）</t>
  </si>
  <si>
    <t>高砂製作所</t>
  </si>
  <si>
    <t>太陽誘電㈱</t>
  </si>
  <si>
    <t>タイシン</t>
  </si>
  <si>
    <t>ホシデン（株）</t>
  </si>
  <si>
    <t>ﾃｸﾉﾃﾞｻﾞｲﾝ㈱</t>
  </si>
  <si>
    <t>㈱TKR</t>
  </si>
  <si>
    <t>TDK株式会社　</t>
  </si>
  <si>
    <t>ティアック</t>
  </si>
  <si>
    <t>天津黑田</t>
  </si>
  <si>
    <t>寺岡精工</t>
  </si>
  <si>
    <t>東芝／日野</t>
  </si>
  <si>
    <t>東芝青梅</t>
  </si>
  <si>
    <t>東北パイオニア</t>
  </si>
  <si>
    <t>東光東芝メーターシステムズ(株)</t>
  </si>
  <si>
    <t>東芝デベロップメントエンジニアリング</t>
  </si>
  <si>
    <t>東京計器</t>
  </si>
  <si>
    <t>東芝ライフスタイル</t>
  </si>
  <si>
    <t>東海通信</t>
  </si>
  <si>
    <t>東芝テック</t>
  </si>
  <si>
    <t>東芝B&amp;amp;S</t>
  </si>
  <si>
    <t>東芝テリー</t>
  </si>
  <si>
    <t>東洋通信機</t>
  </si>
  <si>
    <t>東芝青梅工場</t>
  </si>
  <si>
    <t>㈱大昌電子</t>
  </si>
  <si>
    <t>ダイヤ電子㈱</t>
  </si>
  <si>
    <t>韓国大星ELEC</t>
  </si>
  <si>
    <t>ダイヤモンド電機</t>
  </si>
  <si>
    <t>ダイコク電機</t>
  </si>
  <si>
    <t>㈱大一商会</t>
  </si>
  <si>
    <t>（株）デクシス</t>
  </si>
  <si>
    <t>電産</t>
  </si>
  <si>
    <t>ディ・ライト</t>
  </si>
  <si>
    <t>長野日本無線</t>
  </si>
  <si>
    <t>三洋エナジー南淡（旧南淡電機）</t>
  </si>
  <si>
    <t>（株）バンダイナムコゲームス</t>
  </si>
  <si>
    <t>長野沖電気</t>
  </si>
  <si>
    <t>㈱ナカヨ通信機</t>
  </si>
  <si>
    <t>長野日本電気（株）</t>
  </si>
  <si>
    <t>ニチコン亀岡</t>
  </si>
  <si>
    <t>日本フェンオール</t>
  </si>
  <si>
    <t>ニチコンワカサ㈱</t>
  </si>
  <si>
    <t>日東工業</t>
  </si>
  <si>
    <t>ＮＥＣネットワークセンサー</t>
  </si>
  <si>
    <t>株式会社JVCケンウッド</t>
  </si>
  <si>
    <t>日亜化学工業（株）</t>
  </si>
  <si>
    <t>MOLEX</t>
  </si>
  <si>
    <t>日本電産リード株式会社</t>
  </si>
  <si>
    <t>サイレックス・テクノロジー㈱</t>
  </si>
  <si>
    <t>日本電産エレシス株式会社</t>
  </si>
  <si>
    <t>NECネットワークセンサ</t>
  </si>
  <si>
    <t>ネクスコン・ジャパン</t>
  </si>
  <si>
    <t>ノキアソリューションズ＆ネット</t>
  </si>
  <si>
    <t>（株）バッファロー</t>
  </si>
  <si>
    <t>日本ビクター</t>
  </si>
  <si>
    <t>㈱ビックサイエンス</t>
  </si>
  <si>
    <t>VIVO</t>
  </si>
  <si>
    <t>BYD</t>
  </si>
  <si>
    <t>ブラザー工業（志摩電子工業）</t>
  </si>
  <si>
    <t>伯東</t>
  </si>
  <si>
    <t>BSI</t>
  </si>
  <si>
    <t>ルネサスセミコンダクタ</t>
  </si>
  <si>
    <t>日立オムロンターミナルソリューションズ</t>
  </si>
  <si>
    <t>日立グローバルストレージテクノ</t>
  </si>
  <si>
    <t>株式会社日立ドキュメントソリューションズ</t>
  </si>
  <si>
    <t>マクセル情映テック</t>
  </si>
  <si>
    <t>日立製作所　オートモティブシステムグループ</t>
  </si>
  <si>
    <t>マクセルホールディングス</t>
  </si>
  <si>
    <t>日立 ICT事業統括本部</t>
  </si>
  <si>
    <t>エム・ワイ・エム</t>
  </si>
  <si>
    <t>日立国際電気</t>
  </si>
  <si>
    <t>日立ディスプレイズ</t>
  </si>
  <si>
    <t>ヒロセ電機㈱</t>
  </si>
  <si>
    <t>日立オムロン</t>
  </si>
  <si>
    <t>富士通日立プラズマディスプレイ株式会社</t>
  </si>
  <si>
    <t>富士ゼロックス岩槻</t>
  </si>
  <si>
    <t>台湾富積電子</t>
  </si>
  <si>
    <t>富士電機</t>
  </si>
  <si>
    <t>フェニックスアート</t>
  </si>
  <si>
    <t>古河電工/平塚</t>
  </si>
  <si>
    <t>富士通㈱</t>
  </si>
  <si>
    <t>富士通アイネット</t>
  </si>
  <si>
    <t>富士エクサス(株)　</t>
  </si>
  <si>
    <t>古河電気工業株式会社　三重事業所</t>
  </si>
  <si>
    <t>古河電工／千葉</t>
  </si>
  <si>
    <t>ホシデン</t>
  </si>
  <si>
    <t>北陸電工</t>
  </si>
  <si>
    <t>（株）豊光社</t>
  </si>
  <si>
    <t>パイオニア川崎</t>
  </si>
  <si>
    <t>パイオニア　川越工場</t>
  </si>
  <si>
    <t>Panasonic Electronic Devices</t>
  </si>
  <si>
    <t>パナソニック システム ネットワーク</t>
  </si>
  <si>
    <t>パナソニック（株）ライティング社</t>
  </si>
  <si>
    <t>パナソニック(株)AVC社</t>
  </si>
  <si>
    <t>パナソニック(株)</t>
  </si>
  <si>
    <t>パナソニック株式会社アプライア</t>
  </si>
  <si>
    <t>パナソニックAIS/アメリカ</t>
  </si>
  <si>
    <t>㈱プラックス</t>
  </si>
  <si>
    <t>パナソニック(株)AVCネットワー</t>
  </si>
  <si>
    <t>丸興工業</t>
  </si>
  <si>
    <t>マグネスケール</t>
  </si>
  <si>
    <t>松尾製作所</t>
  </si>
  <si>
    <t>パナソニック㈱PDP</t>
  </si>
  <si>
    <t>メイコーテック</t>
  </si>
  <si>
    <t>パナソニック四国エレクトロニクス㈱</t>
  </si>
  <si>
    <t>パナソニック四国</t>
  </si>
  <si>
    <t>パナソニックオートモーティブシステム（ＰＡＳ社）</t>
  </si>
  <si>
    <t>マイクロリサーチ（株）</t>
  </si>
  <si>
    <t>パナソニックAVC</t>
  </si>
  <si>
    <t>松下／モーター社</t>
  </si>
  <si>
    <t>パナソニックAVCテクノロジーLCD</t>
  </si>
  <si>
    <t>ミヨシ電子</t>
  </si>
  <si>
    <t>三菱通電</t>
  </si>
  <si>
    <t>三菱電機エンジニアリング㈱</t>
  </si>
  <si>
    <t>ミハル通信</t>
  </si>
  <si>
    <t>三菱電機（株）　名古屋製作所</t>
  </si>
  <si>
    <t>三菱／鎌倉</t>
  </si>
  <si>
    <t>三菱／姫路</t>
  </si>
  <si>
    <t>三菱／京都</t>
  </si>
  <si>
    <t>ミツミ電機（株）（厚木事業所）</t>
  </si>
  <si>
    <t>三菱／神戸</t>
  </si>
  <si>
    <t>三菱プレシジョン</t>
  </si>
  <si>
    <t>三菱アメリカ (MDEA)</t>
  </si>
  <si>
    <t>三菱電機エンジニアリング　姫路</t>
  </si>
  <si>
    <t>メルコトレーディング／三菱Ｃ電</t>
  </si>
  <si>
    <t>サミー（株）</t>
  </si>
  <si>
    <t>メイコーアメリカ</t>
  </si>
  <si>
    <t>（株）メイコー商品開発部</t>
  </si>
  <si>
    <t>㈱メイテック</t>
  </si>
  <si>
    <t>モトローラ</t>
  </si>
  <si>
    <t>日本電波㈱</t>
  </si>
  <si>
    <t>日本ビクター（株）</t>
  </si>
  <si>
    <t>株式会社キョウデン</t>
  </si>
  <si>
    <t>日本デジタル研究所</t>
  </si>
  <si>
    <t>日本アイ・ビー・エム</t>
  </si>
  <si>
    <t>新潟富士ゼロックス（ＮＦＸ）</t>
  </si>
  <si>
    <t>ＮＥＣエンジニアリング</t>
  </si>
  <si>
    <t>日本電産コパル電子株式会社</t>
  </si>
  <si>
    <t>ミツミ電機㈱厚木営業所</t>
  </si>
  <si>
    <t>三菱電機　パワーデバイス製作所</t>
  </si>
  <si>
    <t>Mitsubishi India</t>
  </si>
  <si>
    <t>三菱電機トレーディング(株)福山</t>
  </si>
  <si>
    <t>Mitsubishi electric</t>
  </si>
  <si>
    <t>富士電機株式会社</t>
  </si>
  <si>
    <t>富士電機㈱三重</t>
  </si>
  <si>
    <t>矢崎部品</t>
  </si>
  <si>
    <t>ヤマハ</t>
  </si>
  <si>
    <t>ヤマハミュージック</t>
  </si>
  <si>
    <t>安川電機</t>
  </si>
  <si>
    <t>安川コントロール</t>
  </si>
  <si>
    <t>山形カシオ　</t>
  </si>
  <si>
    <t>キャノン(株)矢向事業所</t>
  </si>
  <si>
    <t>CANON Hi-Tech(Thailand)Ltd</t>
  </si>
  <si>
    <t>ユニテック電子</t>
  </si>
  <si>
    <t>ユニデン（株）</t>
  </si>
  <si>
    <t>ユーエスシー（ソニー福島）</t>
  </si>
  <si>
    <t>日立オートモティブシステムズ株式会社</t>
  </si>
  <si>
    <t>ユピテル工業株式会社</t>
  </si>
  <si>
    <t>ユニダックス（株）</t>
  </si>
  <si>
    <t>吉川セミコンダクタ（株）</t>
  </si>
  <si>
    <t>Xolo Technology (Shenzhen) Limited</t>
  </si>
  <si>
    <t>菱電湘南エレクトロニクス㈱</t>
  </si>
  <si>
    <t>リコー</t>
  </si>
  <si>
    <t>リコーインダストリー　勝田</t>
  </si>
  <si>
    <t>（株）菱和</t>
  </si>
  <si>
    <t>ローム</t>
  </si>
  <si>
    <t>ローランド</t>
  </si>
  <si>
    <t>㈱ワイ・ケー電子</t>
  </si>
  <si>
    <t>ワコム</t>
  </si>
  <si>
    <t>アポロ技研</t>
  </si>
  <si>
    <t>00070</t>
  </si>
  <si>
    <t>00240</t>
  </si>
  <si>
    <t>00310</t>
  </si>
  <si>
    <t>00330</t>
  </si>
  <si>
    <t>00560</t>
  </si>
  <si>
    <t>00590</t>
  </si>
  <si>
    <t>00620</t>
  </si>
  <si>
    <t>00680</t>
  </si>
  <si>
    <t>00700</t>
  </si>
  <si>
    <t>00740</t>
  </si>
  <si>
    <t>00760</t>
  </si>
  <si>
    <t>00790</t>
  </si>
  <si>
    <t>00810</t>
  </si>
  <si>
    <t>01000</t>
  </si>
  <si>
    <t>01110</t>
  </si>
  <si>
    <t>01170</t>
  </si>
  <si>
    <t>01320</t>
  </si>
  <si>
    <t>01350</t>
  </si>
  <si>
    <t>01380</t>
  </si>
  <si>
    <t>01390</t>
  </si>
  <si>
    <t>01480</t>
  </si>
  <si>
    <t>01510</t>
  </si>
  <si>
    <t>01610</t>
  </si>
  <si>
    <t>01700</t>
  </si>
  <si>
    <t>01890</t>
  </si>
  <si>
    <t>01920</t>
  </si>
  <si>
    <t>01930</t>
  </si>
  <si>
    <t>01960</t>
  </si>
  <si>
    <t>02000</t>
  </si>
  <si>
    <t>02330</t>
  </si>
  <si>
    <t>02460</t>
  </si>
  <si>
    <t>02800</t>
  </si>
  <si>
    <t>02830</t>
  </si>
  <si>
    <t>02850</t>
  </si>
  <si>
    <t>02980</t>
  </si>
  <si>
    <t>03180</t>
  </si>
  <si>
    <t>04210</t>
  </si>
  <si>
    <t>04290</t>
  </si>
  <si>
    <t>04300</t>
  </si>
  <si>
    <t>04380</t>
  </si>
  <si>
    <t>04440</t>
  </si>
  <si>
    <t>04570</t>
  </si>
  <si>
    <t>04610</t>
  </si>
  <si>
    <t>04740</t>
  </si>
  <si>
    <t>04800</t>
  </si>
  <si>
    <t>05030</t>
  </si>
  <si>
    <t>05040</t>
  </si>
  <si>
    <t>05050</t>
  </si>
  <si>
    <t>05110</t>
  </si>
  <si>
    <t>05200</t>
  </si>
  <si>
    <t>05580</t>
  </si>
  <si>
    <t>05710</t>
  </si>
  <si>
    <t>05740</t>
  </si>
  <si>
    <t>05750</t>
  </si>
  <si>
    <t>05790</t>
  </si>
  <si>
    <t>05850</t>
  </si>
  <si>
    <t>05970</t>
  </si>
  <si>
    <t>06020</t>
  </si>
  <si>
    <t>06050</t>
  </si>
  <si>
    <t>06110</t>
  </si>
  <si>
    <t>06300</t>
  </si>
  <si>
    <t>06380</t>
  </si>
  <si>
    <t>06450</t>
  </si>
  <si>
    <t>06500</t>
  </si>
  <si>
    <t>06510</t>
  </si>
  <si>
    <t>06530</t>
  </si>
  <si>
    <t>06590</t>
  </si>
  <si>
    <t>06730</t>
  </si>
  <si>
    <t>06800</t>
  </si>
  <si>
    <t>06880</t>
  </si>
  <si>
    <t>06980</t>
  </si>
  <si>
    <t>07000</t>
  </si>
  <si>
    <t>07020</t>
  </si>
  <si>
    <t>07160</t>
  </si>
  <si>
    <t>07170</t>
  </si>
  <si>
    <t>07180</t>
  </si>
  <si>
    <t>07270</t>
  </si>
  <si>
    <t>07300</t>
  </si>
  <si>
    <t>07460</t>
  </si>
  <si>
    <t>07540</t>
  </si>
  <si>
    <t>07620</t>
  </si>
  <si>
    <t>07640</t>
  </si>
  <si>
    <t>07710</t>
  </si>
  <si>
    <t>07740</t>
  </si>
  <si>
    <t>07840</t>
  </si>
  <si>
    <t>07850</t>
  </si>
  <si>
    <t>07870</t>
  </si>
  <si>
    <t>08070</t>
  </si>
  <si>
    <t>08150</t>
  </si>
  <si>
    <t>08200</t>
  </si>
  <si>
    <t>08260</t>
  </si>
  <si>
    <t>08370</t>
  </si>
  <si>
    <t>08490</t>
  </si>
  <si>
    <t>08560</t>
  </si>
  <si>
    <t>09040</t>
  </si>
  <si>
    <t>09050</t>
  </si>
  <si>
    <t>09080</t>
  </si>
  <si>
    <t>09150</t>
  </si>
  <si>
    <t>09190</t>
  </si>
  <si>
    <t>09230</t>
  </si>
  <si>
    <t>09280</t>
  </si>
  <si>
    <t>09330</t>
  </si>
  <si>
    <t>09370</t>
  </si>
  <si>
    <t>09690</t>
  </si>
  <si>
    <t>09990</t>
  </si>
  <si>
    <t>10080</t>
  </si>
  <si>
    <t>11160</t>
  </si>
  <si>
    <t>11650</t>
  </si>
  <si>
    <t>11260</t>
  </si>
  <si>
    <t>11440</t>
  </si>
  <si>
    <t>11570</t>
  </si>
  <si>
    <t>11590</t>
  </si>
  <si>
    <t>11700</t>
  </si>
  <si>
    <t>12000</t>
  </si>
  <si>
    <t>12020</t>
  </si>
  <si>
    <t>12030</t>
  </si>
  <si>
    <t>12060</t>
  </si>
  <si>
    <t>12190</t>
  </si>
  <si>
    <t>12250</t>
  </si>
  <si>
    <t>12350</t>
  </si>
  <si>
    <t>12460</t>
  </si>
  <si>
    <t>12550</t>
  </si>
  <si>
    <t>12710</t>
  </si>
  <si>
    <t>12730</t>
  </si>
  <si>
    <t>12750</t>
  </si>
  <si>
    <t>12770</t>
  </si>
  <si>
    <t>12790</t>
  </si>
  <si>
    <t>12820</t>
  </si>
  <si>
    <t>12830</t>
  </si>
  <si>
    <t>12870</t>
  </si>
  <si>
    <t>13020</t>
  </si>
  <si>
    <t>13100</t>
  </si>
  <si>
    <t>13170</t>
  </si>
  <si>
    <t>13230</t>
  </si>
  <si>
    <t>13250</t>
  </si>
  <si>
    <t>13260</t>
  </si>
  <si>
    <t>13340</t>
  </si>
  <si>
    <t>13360</t>
  </si>
  <si>
    <t>13380</t>
  </si>
  <si>
    <t>13390</t>
  </si>
  <si>
    <t>13400</t>
  </si>
  <si>
    <t>13410</t>
  </si>
  <si>
    <t>13430</t>
  </si>
  <si>
    <t>13450</t>
  </si>
  <si>
    <t>13460</t>
  </si>
  <si>
    <t>13470</t>
  </si>
  <si>
    <t>13480</t>
  </si>
  <si>
    <t>13500</t>
  </si>
  <si>
    <t>13550</t>
  </si>
  <si>
    <t>14030</t>
  </si>
  <si>
    <t>14300</t>
  </si>
  <si>
    <t>14320</t>
  </si>
  <si>
    <t>15000</t>
  </si>
  <si>
    <t>15050</t>
  </si>
  <si>
    <t>15060</t>
  </si>
  <si>
    <t>15120</t>
  </si>
  <si>
    <t>15140</t>
  </si>
  <si>
    <t>15440</t>
  </si>
  <si>
    <t>15590</t>
  </si>
  <si>
    <t>16030</t>
  </si>
  <si>
    <t>18120</t>
  </si>
  <si>
    <t>18170</t>
  </si>
  <si>
    <t>21000</t>
  </si>
  <si>
    <t>21010</t>
  </si>
  <si>
    <t>21170</t>
  </si>
  <si>
    <t>21320</t>
  </si>
  <si>
    <t>21660</t>
  </si>
  <si>
    <t>21720</t>
  </si>
  <si>
    <t>21850</t>
  </si>
  <si>
    <t>21880</t>
  </si>
  <si>
    <t>21890</t>
  </si>
  <si>
    <t>21960</t>
  </si>
  <si>
    <t>22000</t>
  </si>
  <si>
    <t>22020</t>
  </si>
  <si>
    <t>22040</t>
  </si>
  <si>
    <t>22080</t>
  </si>
  <si>
    <t>22340</t>
  </si>
  <si>
    <t>22460</t>
  </si>
  <si>
    <t>22500</t>
  </si>
  <si>
    <t>22550</t>
  </si>
  <si>
    <t>22570</t>
  </si>
  <si>
    <t>22610</t>
  </si>
  <si>
    <t>22730</t>
  </si>
  <si>
    <t>22840</t>
  </si>
  <si>
    <t>22890</t>
  </si>
  <si>
    <t>22920</t>
  </si>
  <si>
    <t>22930</t>
  </si>
  <si>
    <t>23010</t>
  </si>
  <si>
    <t>23440</t>
  </si>
  <si>
    <t>23450</t>
  </si>
  <si>
    <t>23570</t>
  </si>
  <si>
    <t>24010</t>
  </si>
  <si>
    <t>24050</t>
  </si>
  <si>
    <t>24060</t>
  </si>
  <si>
    <t>24180</t>
  </si>
  <si>
    <t>24220</t>
  </si>
  <si>
    <t>24450</t>
  </si>
  <si>
    <t>24460</t>
  </si>
  <si>
    <t>24530</t>
  </si>
  <si>
    <t>24560</t>
  </si>
  <si>
    <t>24620</t>
  </si>
  <si>
    <t>24660</t>
  </si>
  <si>
    <t>25070</t>
  </si>
  <si>
    <t>25100</t>
  </si>
  <si>
    <t>25480</t>
  </si>
  <si>
    <t>25530</t>
  </si>
  <si>
    <t>25560</t>
  </si>
  <si>
    <t>25580</t>
  </si>
  <si>
    <t>25670</t>
  </si>
  <si>
    <t>25690</t>
  </si>
  <si>
    <t>25860</t>
  </si>
  <si>
    <t>25880</t>
  </si>
  <si>
    <t>26010</t>
  </si>
  <si>
    <t>27150</t>
  </si>
  <si>
    <t>27550</t>
  </si>
  <si>
    <t>30050</t>
  </si>
  <si>
    <t>30070</t>
  </si>
  <si>
    <t>31070</t>
  </si>
  <si>
    <t>31090</t>
  </si>
  <si>
    <t>31160</t>
  </si>
  <si>
    <t>31360</t>
  </si>
  <si>
    <t>31530</t>
  </si>
  <si>
    <t>31730</t>
  </si>
  <si>
    <t>31770</t>
  </si>
  <si>
    <t>31980</t>
  </si>
  <si>
    <t>32330</t>
  </si>
  <si>
    <t>34260</t>
  </si>
  <si>
    <t>34300</t>
  </si>
  <si>
    <t>34540</t>
  </si>
  <si>
    <t>34560</t>
  </si>
  <si>
    <t>34570</t>
  </si>
  <si>
    <t>34770</t>
  </si>
  <si>
    <t>35130</t>
  </si>
  <si>
    <t>35350</t>
  </si>
  <si>
    <t>35420</t>
  </si>
  <si>
    <t>35430</t>
  </si>
  <si>
    <t>35440</t>
  </si>
  <si>
    <t>35470</t>
  </si>
  <si>
    <t>35540</t>
  </si>
  <si>
    <t>35550</t>
  </si>
  <si>
    <t>35720</t>
  </si>
  <si>
    <t>35730</t>
  </si>
  <si>
    <t>35820</t>
  </si>
  <si>
    <t>35910</t>
  </si>
  <si>
    <t>35920</t>
  </si>
  <si>
    <t>36190</t>
  </si>
  <si>
    <t>36320</t>
  </si>
  <si>
    <t>36360</t>
  </si>
  <si>
    <t>36440</t>
  </si>
  <si>
    <t>36540</t>
  </si>
  <si>
    <t>36560</t>
  </si>
  <si>
    <t>36590</t>
  </si>
  <si>
    <t>39090</t>
  </si>
  <si>
    <t>39250</t>
  </si>
  <si>
    <t>39450</t>
  </si>
  <si>
    <t>41030</t>
  </si>
  <si>
    <t>41070</t>
  </si>
  <si>
    <t>41180</t>
  </si>
  <si>
    <t>41240</t>
  </si>
  <si>
    <t>41290</t>
  </si>
  <si>
    <t>41360</t>
  </si>
  <si>
    <t>42000</t>
  </si>
  <si>
    <t>42010</t>
  </si>
  <si>
    <t>42130</t>
  </si>
  <si>
    <t>42150</t>
  </si>
  <si>
    <t>42260</t>
  </si>
  <si>
    <t>42290</t>
  </si>
  <si>
    <t>42320</t>
  </si>
  <si>
    <t>42510</t>
  </si>
  <si>
    <t>42670</t>
  </si>
  <si>
    <t>42710</t>
  </si>
  <si>
    <t>44040</t>
  </si>
  <si>
    <t>44050</t>
  </si>
  <si>
    <t>44070</t>
  </si>
  <si>
    <t>45090</t>
  </si>
  <si>
    <t>46100</t>
  </si>
  <si>
    <t>47010</t>
  </si>
  <si>
    <t>47090</t>
  </si>
  <si>
    <t>47200</t>
  </si>
  <si>
    <t>47250</t>
  </si>
  <si>
    <t>48060</t>
  </si>
  <si>
    <t>51100</t>
  </si>
  <si>
    <t>51430</t>
  </si>
  <si>
    <t>52010</t>
  </si>
  <si>
    <t>52030</t>
  </si>
  <si>
    <t>52060</t>
  </si>
  <si>
    <t>52350</t>
  </si>
  <si>
    <t>52440</t>
  </si>
  <si>
    <t>52500</t>
  </si>
  <si>
    <t>52650</t>
  </si>
  <si>
    <t>52690</t>
  </si>
  <si>
    <t>52700</t>
  </si>
  <si>
    <t>52710</t>
  </si>
  <si>
    <t>52800</t>
  </si>
  <si>
    <t>52840</t>
  </si>
  <si>
    <t>52930</t>
  </si>
  <si>
    <t>53000</t>
  </si>
  <si>
    <t>53010</t>
  </si>
  <si>
    <t>53020</t>
  </si>
  <si>
    <t>53080</t>
  </si>
  <si>
    <t>53140</t>
  </si>
  <si>
    <t>53260</t>
  </si>
  <si>
    <t>53420</t>
  </si>
  <si>
    <t>53720</t>
  </si>
  <si>
    <t>53830</t>
  </si>
  <si>
    <t>53880</t>
  </si>
  <si>
    <t>53890</t>
  </si>
  <si>
    <t>53930</t>
  </si>
  <si>
    <t>55270</t>
  </si>
  <si>
    <t>55310</t>
  </si>
  <si>
    <t>55330</t>
  </si>
  <si>
    <t>56080</t>
  </si>
  <si>
    <t>56090</t>
  </si>
  <si>
    <t>56210</t>
  </si>
  <si>
    <t>56280</t>
  </si>
  <si>
    <t>56390</t>
  </si>
  <si>
    <t>56410</t>
  </si>
  <si>
    <t>56660</t>
  </si>
  <si>
    <t>56670</t>
  </si>
  <si>
    <t>56680</t>
  </si>
  <si>
    <t>58210</t>
  </si>
  <si>
    <t>60040</t>
  </si>
  <si>
    <t>60090</t>
  </si>
  <si>
    <t>60110</t>
  </si>
  <si>
    <t>61020</t>
  </si>
  <si>
    <t>61060</t>
  </si>
  <si>
    <t>61080</t>
  </si>
  <si>
    <t>61290</t>
  </si>
  <si>
    <t>61500</t>
  </si>
  <si>
    <t>61580</t>
  </si>
  <si>
    <t>61660</t>
  </si>
  <si>
    <t>61720</t>
  </si>
  <si>
    <t>61850</t>
  </si>
  <si>
    <t>61930</t>
  </si>
  <si>
    <t>61970</t>
  </si>
  <si>
    <t>61980</t>
  </si>
  <si>
    <t>62060</t>
  </si>
  <si>
    <t>62280</t>
  </si>
  <si>
    <t>62350</t>
  </si>
  <si>
    <t>62390</t>
  </si>
  <si>
    <t>62420</t>
  </si>
  <si>
    <t>62480</t>
  </si>
  <si>
    <t>62500</t>
  </si>
  <si>
    <t>62540</t>
  </si>
  <si>
    <t>62670</t>
  </si>
  <si>
    <t>62710</t>
  </si>
  <si>
    <t>62740</t>
  </si>
  <si>
    <t>62750</t>
  </si>
  <si>
    <t>62870</t>
  </si>
  <si>
    <t>62910</t>
  </si>
  <si>
    <t>62940</t>
  </si>
  <si>
    <t>64060</t>
  </si>
  <si>
    <t>64150</t>
  </si>
  <si>
    <t>64450</t>
  </si>
  <si>
    <t>64600</t>
  </si>
  <si>
    <t>64660</t>
  </si>
  <si>
    <t>64760</t>
  </si>
  <si>
    <t>65050</t>
  </si>
  <si>
    <t>65130</t>
  </si>
  <si>
    <t>66010</t>
  </si>
  <si>
    <t>66220</t>
  </si>
  <si>
    <t>66400</t>
  </si>
  <si>
    <t>66700</t>
  </si>
  <si>
    <t>66720</t>
  </si>
  <si>
    <t>66730</t>
  </si>
  <si>
    <t>66740</t>
  </si>
  <si>
    <t>66810</t>
  </si>
  <si>
    <t>67070</t>
  </si>
  <si>
    <t>67260</t>
  </si>
  <si>
    <t>67330</t>
  </si>
  <si>
    <t>67340</t>
  </si>
  <si>
    <t>67350</t>
  </si>
  <si>
    <t>68170</t>
  </si>
  <si>
    <t>68240</t>
  </si>
  <si>
    <t>71210</t>
  </si>
  <si>
    <t>71270</t>
  </si>
  <si>
    <t>71430</t>
  </si>
  <si>
    <t>71450</t>
  </si>
  <si>
    <t>71460</t>
  </si>
  <si>
    <t>71480</t>
  </si>
  <si>
    <t>72010</t>
  </si>
  <si>
    <t>72070</t>
  </si>
  <si>
    <t>73030</t>
  </si>
  <si>
    <t>73200</t>
  </si>
  <si>
    <t>73290</t>
  </si>
  <si>
    <t>73380</t>
  </si>
  <si>
    <t>73470</t>
  </si>
  <si>
    <t>73570</t>
  </si>
  <si>
    <t>75190</t>
  </si>
  <si>
    <t>81100</t>
  </si>
  <si>
    <t>82060</t>
  </si>
  <si>
    <t>82180</t>
  </si>
  <si>
    <t>82370</t>
  </si>
  <si>
    <t>82380</t>
  </si>
  <si>
    <t>85060</t>
  </si>
  <si>
    <t>85160</t>
  </si>
  <si>
    <t>91010</t>
  </si>
  <si>
    <t>91060</t>
  </si>
  <si>
    <t>97020</t>
  </si>
  <si>
    <t>Aptos Technology INC.</t>
  </si>
  <si>
    <t>サジェム 日商岩井Deutschland GMBH SAGEM</t>
  </si>
  <si>
    <t>ケンウッド</t>
  </si>
  <si>
    <t>022-BAK-D</t>
  </si>
  <si>
    <t>031-ODFI-D</t>
  </si>
  <si>
    <t>083-MII-D</t>
  </si>
  <si>
    <t>061-OMII-D</t>
  </si>
  <si>
    <t>100-SPQP-D</t>
  </si>
  <si>
    <t>313-SEC-D</t>
  </si>
  <si>
    <t>314-SEC-D</t>
  </si>
  <si>
    <t>315-SEC-D</t>
  </si>
  <si>
    <t>372-MIIC-D</t>
  </si>
  <si>
    <t>062-MIIC-D</t>
  </si>
  <si>
    <t>063-MIIC-D</t>
  </si>
  <si>
    <t>425-HPTH-D</t>
  </si>
  <si>
    <t>426-ACR-D</t>
  </si>
  <si>
    <t>427-ACR-D</t>
  </si>
  <si>
    <t>428-ACR-D</t>
  </si>
  <si>
    <t>435-HPTH-D</t>
  </si>
  <si>
    <t>442-HPTH-D</t>
  </si>
  <si>
    <t>447-HPTH-D</t>
  </si>
  <si>
    <t>451-HPTH-D</t>
  </si>
  <si>
    <t>491-EPL-D</t>
  </si>
  <si>
    <t>525-RBVH-D</t>
  </si>
  <si>
    <t>585-TAPE-D</t>
  </si>
  <si>
    <t>591-ETNG-D</t>
  </si>
  <si>
    <t>675-LVHC-D</t>
  </si>
  <si>
    <t>676-LVHC-D</t>
  </si>
  <si>
    <t>677-LVHC-D</t>
  </si>
  <si>
    <t>678-LVHC-D</t>
  </si>
  <si>
    <t>679-LVHC-D</t>
  </si>
  <si>
    <t>685-LVHC-D</t>
  </si>
  <si>
    <t>721-BAK-D</t>
  </si>
  <si>
    <t>791-SSSC-D</t>
  </si>
  <si>
    <t>811-SDEP-D</t>
  </si>
  <si>
    <t>M584-UVB-D</t>
  </si>
  <si>
    <t>M578-SSC-D</t>
  </si>
  <si>
    <t>M580-SMP-D</t>
  </si>
  <si>
    <t>OS CIRCUIT FORMATION (INNER 1)</t>
  </si>
  <si>
    <t>SOFL ETCHING (1)</t>
  </si>
  <si>
    <t>SOFL ETCHING (2)</t>
  </si>
  <si>
    <t>SOFL ETCHING (3)</t>
  </si>
  <si>
    <t>ACID RINSING(2)</t>
  </si>
  <si>
    <t>ACID RINSING(3)</t>
  </si>
  <si>
    <t>HORIZONTAL CHEMI.CU PLATING(2)</t>
  </si>
  <si>
    <t>HORIZONTAL CHEMI.CU PLATING(3)</t>
  </si>
  <si>
    <t>HORIZONTAL CHEMI.CU PLATING(4)</t>
  </si>
  <si>
    <t>HORIZONTAL CHEMI.CU PLATING(5)</t>
  </si>
  <si>
    <t>ELECTROLYTIC NI/AU PLATING</t>
  </si>
  <si>
    <t>M_ELECTROLESS TIN PLATING</t>
  </si>
  <si>
    <t>M_SOLDER MASK(SCREEN PRINTING)</t>
  </si>
  <si>
    <t>Shengyi</t>
  </si>
  <si>
    <t>Doosan</t>
  </si>
  <si>
    <t>EMC</t>
  </si>
  <si>
    <t>Nanya</t>
  </si>
  <si>
    <t>Panasonic</t>
  </si>
  <si>
    <t>Grace</t>
  </si>
  <si>
    <t>ITEQ</t>
  </si>
  <si>
    <t>S1000HB</t>
  </si>
  <si>
    <t>AUTOLAD1B</t>
  </si>
  <si>
    <t>S1000H</t>
  </si>
  <si>
    <t>AUTOLAD1</t>
  </si>
  <si>
    <t>L</t>
  </si>
  <si>
    <t>Type_</t>
  </si>
  <si>
    <t>Glossy_</t>
  </si>
  <si>
    <t>HASL_CAP_</t>
  </si>
  <si>
    <t>TIN_CAP_</t>
  </si>
  <si>
    <t>OSP_CAP_</t>
  </si>
  <si>
    <t>ENIG_CAP_</t>
  </si>
  <si>
    <t>CA-40 AM81</t>
  </si>
  <si>
    <t>CA-40 AM05TS</t>
  </si>
  <si>
    <t>CA-40 MH</t>
  </si>
  <si>
    <t xml:space="preserve">SR Flex </t>
  </si>
  <si>
    <t>Matte</t>
  </si>
  <si>
    <t>Semi-matte</t>
  </si>
  <si>
    <t>CA-25 CE96</t>
  </si>
  <si>
    <t>HD-50 FM01</t>
  </si>
  <si>
    <t>S-500 FM01</t>
  </si>
  <si>
    <t>-</t>
  </si>
  <si>
    <t>Er_01G_</t>
  </si>
  <si>
    <t>SPEC_THK_</t>
  </si>
  <si>
    <t>PREFERENCE_CLASS_</t>
  </si>
  <si>
    <t>H_USE_TYPE_</t>
  </si>
  <si>
    <t>NAME_</t>
  </si>
  <si>
    <t>CENTER_GLASS_</t>
  </si>
  <si>
    <t>PP_TYPE_</t>
  </si>
  <si>
    <t>PSR-2000 CE823HF</t>
  </si>
  <si>
    <t>PSR-2000 CE811HF</t>
  </si>
  <si>
    <t>PSR-4000 AM03TS</t>
  </si>
  <si>
    <t>PSR-4000 AM02SP</t>
  </si>
  <si>
    <t xml:space="preserve">  </t>
  </si>
  <si>
    <t>All Solder Mask</t>
  </si>
  <si>
    <t>HF Solder Mask</t>
  </si>
  <si>
    <t xml:space="preserve">  All Silk Screen Oil</t>
  </si>
  <si>
    <t>TravSectNotes:MRP_FLOW</t>
  </si>
  <si>
    <t>パナソニック(株)PAVC</t>
  </si>
  <si>
    <t>三菱電機(株)</t>
  </si>
  <si>
    <t>001-CHK-D</t>
  </si>
  <si>
    <t>010-MAT-D</t>
  </si>
  <si>
    <t>011-CLC-D</t>
  </si>
  <si>
    <t>015-PPC-D</t>
  </si>
  <si>
    <t>016-PPP-D</t>
  </si>
  <si>
    <t>020-BAK-D</t>
  </si>
  <si>
    <t>021-BAK-D</t>
  </si>
  <si>
    <t>030-DFI-D</t>
  </si>
  <si>
    <t>040-DFI-D</t>
  </si>
  <si>
    <t>050-DFI-D</t>
  </si>
  <si>
    <t>051-DFI-D</t>
  </si>
  <si>
    <t>052-DFI-D</t>
  </si>
  <si>
    <t>053-DFI-D</t>
  </si>
  <si>
    <t>054-DFI-D</t>
  </si>
  <si>
    <t>060-MII-D</t>
  </si>
  <si>
    <t>070-MII-D</t>
  </si>
  <si>
    <t>080-MII-D</t>
  </si>
  <si>
    <t>081-MII-D</t>
  </si>
  <si>
    <t>082-MII-D</t>
  </si>
  <si>
    <t>101-BOD-D</t>
  </si>
  <si>
    <t>102-BOD-D</t>
  </si>
  <si>
    <t>103-BOD-D</t>
  </si>
  <si>
    <t>104-BOD-D</t>
  </si>
  <si>
    <t>105-BOD-D</t>
  </si>
  <si>
    <t>110-MEL-D</t>
  </si>
  <si>
    <t>120-LAY-D</t>
  </si>
  <si>
    <t>125-LAY-D</t>
  </si>
  <si>
    <t>128-LAY-D</t>
  </si>
  <si>
    <t>129-LAY-D</t>
  </si>
  <si>
    <t>152-LAY-D</t>
  </si>
  <si>
    <t>121-LAY-D</t>
  </si>
  <si>
    <t>131-LU-D</t>
  </si>
  <si>
    <t>140-XRA-D</t>
  </si>
  <si>
    <t>150-XRA-D</t>
  </si>
  <si>
    <t>151-XRA-D</t>
  </si>
  <si>
    <t>153-XRA-D</t>
  </si>
  <si>
    <t>160-ILR-D</t>
  </si>
  <si>
    <t>170-ILR-D</t>
  </si>
  <si>
    <t>175-ILR-D</t>
  </si>
  <si>
    <t>176-ILR-D</t>
  </si>
  <si>
    <t>177-ILR-D</t>
  </si>
  <si>
    <t>180-ILI-D</t>
  </si>
  <si>
    <t>183-ILI-D</t>
  </si>
  <si>
    <t>184-ILI-D</t>
  </si>
  <si>
    <t>210-G/H-D</t>
  </si>
  <si>
    <t>221-DRL-D</t>
  </si>
  <si>
    <t>190-DRL-D</t>
  </si>
  <si>
    <t>200-DRL-D</t>
  </si>
  <si>
    <t>220-DRL-D</t>
  </si>
  <si>
    <t>225-DRL-D</t>
  </si>
  <si>
    <t>205-BAK-D</t>
  </si>
  <si>
    <t>230-DES-D</t>
  </si>
  <si>
    <t>235-DES-D</t>
  </si>
  <si>
    <t>240-DES-D</t>
  </si>
  <si>
    <t>241-DES-D</t>
  </si>
  <si>
    <t>242-DES-D</t>
  </si>
  <si>
    <t>243-DES-D</t>
  </si>
  <si>
    <t>244-DES-D</t>
  </si>
  <si>
    <t>245-RIN-D</t>
  </si>
  <si>
    <t>257-RIN-D</t>
  </si>
  <si>
    <t>265-RIN-D</t>
  </si>
  <si>
    <t>275-RIN-D</t>
  </si>
  <si>
    <t>250-DES-D</t>
  </si>
  <si>
    <t>260-DES-D</t>
  </si>
  <si>
    <t>270-DES-D</t>
  </si>
  <si>
    <t>280-DES-D</t>
  </si>
  <si>
    <t>301-M/E-D</t>
  </si>
  <si>
    <t>302-M/E-D</t>
  </si>
  <si>
    <t>303-M/E-D</t>
  </si>
  <si>
    <t>304-M/E-D</t>
  </si>
  <si>
    <t>305-M/E-D</t>
  </si>
  <si>
    <t>306-M/E-D</t>
  </si>
  <si>
    <t>307-M/E-D</t>
  </si>
  <si>
    <t>308-M/E-D</t>
  </si>
  <si>
    <t>309-M/E-D</t>
  </si>
  <si>
    <t>310-M/E-D</t>
  </si>
  <si>
    <t>311-M/E-D</t>
  </si>
  <si>
    <t>312-M/E-D</t>
  </si>
  <si>
    <t>370-CON-D</t>
  </si>
  <si>
    <t>371-CON-D</t>
  </si>
  <si>
    <t>375-LFT-D</t>
  </si>
  <si>
    <t>376-LFT-D</t>
  </si>
  <si>
    <t>377-LFT-D</t>
  </si>
  <si>
    <t>378-LFT-D</t>
  </si>
  <si>
    <t>379-LFT-D</t>
  </si>
  <si>
    <t>380-L/D-D</t>
  </si>
  <si>
    <t>390-L/D-D</t>
  </si>
  <si>
    <t>391-L/D-D</t>
  </si>
  <si>
    <t>392-L/D-D</t>
  </si>
  <si>
    <t>393-L/D-D</t>
  </si>
  <si>
    <t>394-LFT-D</t>
  </si>
  <si>
    <t>395-L/D-D</t>
  </si>
  <si>
    <t>400-SRT-D</t>
  </si>
  <si>
    <t>405-HBP-D</t>
  </si>
  <si>
    <t>406-HBP-D</t>
  </si>
  <si>
    <t>407-HBP-D</t>
  </si>
  <si>
    <t>408-HBP-D</t>
  </si>
  <si>
    <t>410-SRT-D</t>
  </si>
  <si>
    <t>411-SRT-D</t>
  </si>
  <si>
    <t>412-SRT-D</t>
  </si>
  <si>
    <t>413-SRT-D</t>
  </si>
  <si>
    <t>415-HBP-D</t>
  </si>
  <si>
    <t>416-HBP-D</t>
  </si>
  <si>
    <t>418-SRT-D</t>
  </si>
  <si>
    <t>420-PTH-D</t>
  </si>
  <si>
    <t>430-PTH-D</t>
  </si>
  <si>
    <t>440-PTH-D</t>
  </si>
  <si>
    <t>445-PTH-D</t>
  </si>
  <si>
    <t>450-PTH-D</t>
  </si>
  <si>
    <t>460-EPL-D</t>
  </si>
  <si>
    <t>480-EPL-D</t>
  </si>
  <si>
    <t>490-EPL-D</t>
  </si>
  <si>
    <t>520-RCC-D</t>
  </si>
  <si>
    <t>527-SBA-D</t>
  </si>
  <si>
    <t>528-SBA-D</t>
  </si>
  <si>
    <t>529-SBA-D</t>
  </si>
  <si>
    <t>530-DFO-D</t>
  </si>
  <si>
    <t>540-MIO-D</t>
  </si>
  <si>
    <t>579-SML-D</t>
  </si>
  <si>
    <t>580-SMP-D</t>
  </si>
  <si>
    <t>581-LAM-D</t>
  </si>
  <si>
    <t>582-STR-D</t>
  </si>
  <si>
    <t>586-STR-D</t>
  </si>
  <si>
    <t>587-JS-D</t>
  </si>
  <si>
    <t>590-ELG-D</t>
  </si>
  <si>
    <t>600-LHS-D</t>
  </si>
  <si>
    <t>610-EGP-D</t>
  </si>
  <si>
    <t>611-TGP-D</t>
  </si>
  <si>
    <t>640-OUP-D</t>
  </si>
  <si>
    <t>650-OUR-D</t>
  </si>
  <si>
    <t>659-RIN-D</t>
  </si>
  <si>
    <t>660-VCT-D</t>
  </si>
  <si>
    <t>663-L/M-D</t>
  </si>
  <si>
    <t>665-HLH-D</t>
  </si>
  <si>
    <t>666-HLH-D</t>
  </si>
  <si>
    <t>680-ET-D</t>
  </si>
  <si>
    <t>681-ET-D</t>
  </si>
  <si>
    <t>710-FIN-D</t>
  </si>
  <si>
    <t>711-FIN-D</t>
  </si>
  <si>
    <t>712-AI-D</t>
  </si>
  <si>
    <t>720-BAK-D</t>
  </si>
  <si>
    <t>730-I/D-D</t>
  </si>
  <si>
    <t>780-FLX-D</t>
  </si>
  <si>
    <t>790-SSC-D</t>
  </si>
  <si>
    <t>792-SSC-D</t>
  </si>
  <si>
    <t>800-DCU-D</t>
  </si>
  <si>
    <t>810-DEP-D</t>
  </si>
  <si>
    <t>812-DEP-D</t>
  </si>
  <si>
    <t>MATERIAL CUTTING</t>
  </si>
  <si>
    <t>COVERLAY CUTTING</t>
  </si>
  <si>
    <t>PP CUTTING</t>
  </si>
  <si>
    <t>PP PUNCHING</t>
  </si>
  <si>
    <t>BAKING (MATERIAL CUTTING)(2)</t>
  </si>
  <si>
    <t>CIRCUIT FORMATION (INNER 2)</t>
  </si>
  <si>
    <t>CIRCUIT FORMATION (INNER 3)</t>
  </si>
  <si>
    <t>CIRCUIT FORMATION (INNER 4)</t>
  </si>
  <si>
    <t>CIRCUIT FORMATION (INNER 5)</t>
  </si>
  <si>
    <t>CIRCUIT FORMATION (INNER 6)</t>
  </si>
  <si>
    <t>CIRCUIT FORMATION (INNER 7)</t>
  </si>
  <si>
    <t>AOI (INNER 2)</t>
  </si>
  <si>
    <t>AOI (INNER 3)</t>
  </si>
  <si>
    <t>AOI (INNER 4)</t>
  </si>
  <si>
    <t>AOI (INNER 5)</t>
  </si>
  <si>
    <t>AOI (INNER 6)</t>
  </si>
  <si>
    <t>SUPPORT PLATE QUICK PRESS</t>
  </si>
  <si>
    <t>BROWN TREATMENT(2)</t>
  </si>
  <si>
    <t>BROWN TREATMENT(3)</t>
  </si>
  <si>
    <t>BROWN TREATMENT(4)</t>
  </si>
  <si>
    <t>BROWN TREATMENT(5)</t>
  </si>
  <si>
    <t>WELDING</t>
  </si>
  <si>
    <t>LAMINATION(2)</t>
  </si>
  <si>
    <t>LAMINATION(3)</t>
  </si>
  <si>
    <t>LAMINATION(4)</t>
  </si>
  <si>
    <t>LAMINATION(5)</t>
  </si>
  <si>
    <t>LAYUP</t>
  </si>
  <si>
    <t>X-RAY DRILLING(2)</t>
  </si>
  <si>
    <t>X-RAY DRILLING(3)</t>
  </si>
  <si>
    <t>X-RAY DRILLING(4)</t>
  </si>
  <si>
    <t>X-RAY DRILLING(5)</t>
  </si>
  <si>
    <t>INNER LAYER ROUTING(2)</t>
  </si>
  <si>
    <t>INNER LAYER ROUTING(3)</t>
  </si>
  <si>
    <t>INNER LAYER ROUTING(4)</t>
  </si>
  <si>
    <t>INNER LAYER ROUTING(5)</t>
  </si>
  <si>
    <t>INNER LAYER INSPECTION(2)</t>
  </si>
  <si>
    <t>INNER LAYER INSPECTION(3)</t>
  </si>
  <si>
    <t>GUIDE HOLE</t>
  </si>
  <si>
    <t>DI_NC DRILLING</t>
  </si>
  <si>
    <t>NC DRILLING(2)</t>
  </si>
  <si>
    <t>NC DRILLING(3)</t>
  </si>
  <si>
    <t>DESMEAR - HORIZONTAL(2)</t>
  </si>
  <si>
    <t>DESMEAR - HORIZONTAL(3)</t>
  </si>
  <si>
    <t>DESMEAR - HORIZONTAL(4)</t>
  </si>
  <si>
    <t>DESMEAR - HORIZONTAL(5)</t>
  </si>
  <si>
    <t>DESMEAR - HORIZONTAL(6)</t>
  </si>
  <si>
    <t>DESMEAR - HORIZONTAL(7)</t>
  </si>
  <si>
    <t>WATER RINSING(PRE-DESMEAR 2)</t>
  </si>
  <si>
    <t>WATER RINSING(PRE-DESMEAR 3)</t>
  </si>
  <si>
    <t>WATER RINSING(PRE-DESMEAR 4)</t>
  </si>
  <si>
    <t>DESMEAR(2)</t>
  </si>
  <si>
    <t>DESMEAR(3)</t>
  </si>
  <si>
    <t>HALF ETCHING(2)</t>
  </si>
  <si>
    <t>LASER PRE-TREATMENT(2)</t>
  </si>
  <si>
    <t>LASER PRE-TREATMENT(3)</t>
  </si>
  <si>
    <t>LASER PRE-TREATMENT(4)</t>
  </si>
  <si>
    <t>LASER PRE-TREATMENT(5)</t>
  </si>
  <si>
    <t>LASER DRILLING(2)</t>
  </si>
  <si>
    <t>LASER DRILLING(3)</t>
  </si>
  <si>
    <t>LASER PRE-TREATMENT(6)</t>
  </si>
  <si>
    <t>ELECTROLESS COPPER PLATING(2)</t>
  </si>
  <si>
    <t>ELECTROLESS COPPER PLATING(3)</t>
  </si>
  <si>
    <t>ELECTROLESS COPPER PLATING(4)</t>
  </si>
  <si>
    <t>ELECTROLESS COPPER PLATING(5)</t>
  </si>
  <si>
    <t>ELECTRO PLATING(2)</t>
  </si>
  <si>
    <t>ELECTRO PLATING(3)</t>
  </si>
  <si>
    <t>ELECTRO PLATING(4)</t>
  </si>
  <si>
    <t>RCC LAMINATION</t>
  </si>
  <si>
    <t>BELT SCRUBBING(2)</t>
  </si>
  <si>
    <t>BELT SCRUBBING(3)</t>
  </si>
  <si>
    <t>CIRCUIT FORMATION (OUTER)</t>
  </si>
  <si>
    <t>AOI</t>
  </si>
  <si>
    <t>SOLDER PRINTING WITH PLUGGING</t>
  </si>
  <si>
    <t>SOLDER MASK (SCREEN PRINTING)</t>
  </si>
  <si>
    <t>LAMINATE (FOR GOLD(Fr))</t>
  </si>
  <si>
    <t>STRIPPING (AFTER GOLD(Fr))</t>
  </si>
  <si>
    <t>TAPE MASK (FOR ELECTROL GOLD)</t>
  </si>
  <si>
    <t>JET SCRUB</t>
  </si>
  <si>
    <t>ELECTROLESS GOLD PLATING</t>
  </si>
  <si>
    <t>LEGEND MASKING</t>
  </si>
  <si>
    <t>ELECTROL GOLD PLATING</t>
  </si>
  <si>
    <t>TREATMENT AFTER GOLD PALTING</t>
  </si>
  <si>
    <t>OUT LINE PROCESS (PUNCHING)</t>
  </si>
  <si>
    <t>OUT LINE PROCESS (ROUTING)</t>
  </si>
  <si>
    <t>FINAL RINSING</t>
  </si>
  <si>
    <t>V-CUT</t>
  </si>
  <si>
    <t>LASER MARK</t>
  </si>
  <si>
    <t>REFLOW</t>
  </si>
  <si>
    <t>LASER HOLE INSPECTION(2)</t>
  </si>
  <si>
    <t>LASER HOLE INSPECTION(3)</t>
  </si>
  <si>
    <t>LASER HOLE INSPECTION(4)</t>
  </si>
  <si>
    <t>LASER HOLE INSPECTION(5)</t>
  </si>
  <si>
    <t>E-TEST</t>
  </si>
  <si>
    <t>LASER HOLE INSPECTION(6)</t>
  </si>
  <si>
    <t>VISUAL INSPECTION</t>
  </si>
  <si>
    <t>AUTO INSPECTION</t>
  </si>
  <si>
    <t>BAKING (FQC)</t>
  </si>
  <si>
    <t>WARP INSPECTION</t>
  </si>
  <si>
    <t>FLUX</t>
  </si>
  <si>
    <t>OQC</t>
  </si>
  <si>
    <t>SP OQC</t>
  </si>
  <si>
    <t>OQC (BEFORE OUTSOURCING)</t>
  </si>
  <si>
    <t>DIRECTION CHECKING</t>
  </si>
  <si>
    <t>PACKING</t>
  </si>
  <si>
    <t>SP PACKING</t>
  </si>
  <si>
    <t>PACKING (BEFORE OUTSOURCING)</t>
  </si>
  <si>
    <t>M_UV BUMP</t>
  </si>
  <si>
    <t>M_SOLDER MASK (SPRAY COATING)</t>
  </si>
  <si>
    <t>EM-285B</t>
  </si>
  <si>
    <t>1037</t>
  </si>
  <si>
    <t>106</t>
  </si>
  <si>
    <t>7629</t>
  </si>
  <si>
    <t>EM-37B(D)</t>
  </si>
  <si>
    <t>EM-370(5)</t>
  </si>
  <si>
    <t>EM-37B(5)</t>
  </si>
  <si>
    <t>HDI</t>
  </si>
  <si>
    <t>EM-370(Z)</t>
  </si>
  <si>
    <t>EM-355(D)</t>
  </si>
  <si>
    <t>EM-355B(D)</t>
  </si>
  <si>
    <t>EM-390</t>
  </si>
  <si>
    <t>EM-39B</t>
  </si>
  <si>
    <t>DS-7402</t>
  </si>
  <si>
    <t>NP-140TL</t>
  </si>
  <si>
    <t>NP-140B</t>
  </si>
  <si>
    <t>FR-4-86</t>
  </si>
  <si>
    <t>NP-140TL(FR-4-86)</t>
  </si>
  <si>
    <t>369-GRI-D</t>
  </si>
  <si>
    <r>
      <rPr>
        <strike/>
        <sz val="10"/>
        <rFont val="Arial"/>
        <family val="2"/>
      </rPr>
      <t>M</t>
    </r>
    <r>
      <rPr>
        <sz val="10"/>
        <rFont val="Arial"/>
        <family val="2"/>
      </rPr>
      <t>595-ELT-D</t>
    </r>
  </si>
  <si>
    <t>455-PTH-D</t>
  </si>
  <si>
    <t>313-SET-D</t>
  </si>
  <si>
    <t>314-SET-D</t>
  </si>
  <si>
    <t>315-SET-D</t>
  </si>
  <si>
    <t>664-L2B-D</t>
  </si>
  <si>
    <t>595-ELT-D</t>
  </si>
  <si>
    <t>613-DFRL-D</t>
  </si>
  <si>
    <t>612-SGP-D</t>
  </si>
  <si>
    <t>636-ECT-D</t>
  </si>
  <si>
    <t>583-FSR-D</t>
  </si>
  <si>
    <t>526-RBVH-D</t>
  </si>
  <si>
    <t>664-CL2B-D</t>
  </si>
  <si>
    <t>368-GRI-D</t>
  </si>
  <si>
    <t>614-DFRL-D</t>
  </si>
  <si>
    <t>614-SEGP-D</t>
  </si>
  <si>
    <t>527-HSPP-D</t>
  </si>
  <si>
    <t>651-OUR-D</t>
  </si>
  <si>
    <t>SELECTIVE ELECTRO GOLD PLATING</t>
  </si>
  <si>
    <t>ELECTROLESS</t>
  </si>
  <si>
    <t>ELECTROLESS COPPER PLATING(6)</t>
  </si>
  <si>
    <t>LASER 2D BARCODE</t>
  </si>
  <si>
    <t>ELECTROLESS TIN PLATING</t>
  </si>
  <si>
    <t>DFR LAMINATE</t>
  </si>
  <si>
    <t>SELECTIVE GOLD PLATING</t>
  </si>
  <si>
    <t>E-CONTACT</t>
  </si>
  <si>
    <t>FLEX-SR</t>
  </si>
  <si>
    <t>CHECK 2D BARCODE</t>
  </si>
  <si>
    <t>HSP PRINTING</t>
  </si>
  <si>
    <t>BAKING</t>
  </si>
  <si>
    <t>023-BAK-D</t>
  </si>
  <si>
    <t>130-XRA-D</t>
  </si>
  <si>
    <t>true</t>
  </si>
  <si>
    <t>F_BAKING(1)</t>
  </si>
  <si>
    <t>GUIDE HOLE(1)</t>
  </si>
  <si>
    <t>BAKING (AFTER NC DRILLING)</t>
  </si>
  <si>
    <t>HALF ETCHING(3)</t>
  </si>
  <si>
    <t>HALF ETCHING(4)</t>
  </si>
  <si>
    <t>HALF ETCHING(5)</t>
  </si>
  <si>
    <t>HALF ETCHING(6)</t>
  </si>
  <si>
    <t>HALF ETCHING(7)</t>
  </si>
  <si>
    <t>HALF ETCHING(8)</t>
  </si>
  <si>
    <t>HALF ETCHING(9)</t>
  </si>
  <si>
    <t>HALF ETCHING(10)</t>
  </si>
  <si>
    <t>HALF ETCHING(11)</t>
  </si>
  <si>
    <t>HALF ETCHING(12)</t>
  </si>
  <si>
    <t>DESMEAR(4)</t>
  </si>
  <si>
    <t>CONF(2)</t>
  </si>
  <si>
    <t>AOI AFTER CONF(2)</t>
  </si>
  <si>
    <t>LASER DRILLING(4)</t>
  </si>
  <si>
    <t>LASER DRILLING(5)</t>
  </si>
  <si>
    <t>LASER DRILLING(6)</t>
  </si>
  <si>
    <t>FILLED PLATING(2)</t>
  </si>
  <si>
    <t>FILLED PLATING(3)</t>
  </si>
  <si>
    <t>FILLED PLATING(4)</t>
  </si>
  <si>
    <t>GLASS ETCHING(2)</t>
  </si>
  <si>
    <t>GLASS ETCHING(3)</t>
  </si>
  <si>
    <t>GLASS ETCHING(4)</t>
  </si>
  <si>
    <t>GLASS ETCHING(5)</t>
  </si>
  <si>
    <t>FILLED PLATING(5)</t>
  </si>
  <si>
    <t>FILLED PLATING(6)</t>
  </si>
  <si>
    <t>GLASS ETCHING(6)</t>
  </si>
  <si>
    <t>STRIPPING (AFTER ELECTROL GOLD)</t>
  </si>
  <si>
    <t>REFLOW(2)</t>
  </si>
  <si>
    <t>E-TEST(2)</t>
  </si>
  <si>
    <t>VISUAL INSPECTION(2)</t>
  </si>
  <si>
    <t>BAKING (FQC)(1)</t>
  </si>
  <si>
    <t>SOFT ETCHING(2)</t>
  </si>
  <si>
    <t>SOFT ETCHING(3)</t>
  </si>
  <si>
    <t>HOLE PLUGGING(2)</t>
  </si>
  <si>
    <t>GRINDING(2)</t>
  </si>
  <si>
    <t>DFR LAMINATE(2)</t>
  </si>
  <si>
    <t>OUT LINE PROCESS (ROUTING)(2)</t>
  </si>
  <si>
    <t>Sumitomo</t>
  </si>
  <si>
    <t>00640</t>
  </si>
  <si>
    <t>SUMITOMO Vietnam</t>
  </si>
  <si>
    <t>00730</t>
  </si>
  <si>
    <t>FPS</t>
  </si>
  <si>
    <t>00900</t>
  </si>
  <si>
    <t>SI FLEX VIETNAM</t>
  </si>
  <si>
    <t>01040</t>
  </si>
  <si>
    <t>AISHIN</t>
  </si>
  <si>
    <t>01810</t>
  </si>
  <si>
    <t>ITMV</t>
  </si>
  <si>
    <t>02510</t>
  </si>
  <si>
    <t>ILJIN DISPLAY</t>
  </si>
  <si>
    <t>02900</t>
  </si>
  <si>
    <t>ITOU DENKI</t>
  </si>
  <si>
    <t>03220</t>
  </si>
  <si>
    <t>WISOL</t>
  </si>
  <si>
    <t>06370</t>
  </si>
  <si>
    <t>AMAZON</t>
  </si>
  <si>
    <t>06580</t>
  </si>
  <si>
    <t>ASTI ELECTRONICS CORPORATION</t>
  </si>
  <si>
    <t>07910</t>
  </si>
  <si>
    <t>SHARP</t>
  </si>
  <si>
    <t>Samsung Electronics Vietnam</t>
  </si>
  <si>
    <t>08261</t>
  </si>
  <si>
    <t>08262</t>
  </si>
  <si>
    <t>08263</t>
  </si>
  <si>
    <t>08264</t>
  </si>
  <si>
    <t>Samsung Electronica Da Amazoni</t>
  </si>
  <si>
    <t>TIANJIN SAMSUNG TELECOM TEC</t>
  </si>
  <si>
    <t>Samsung India electronics</t>
  </si>
  <si>
    <t>Samsung GUMI</t>
  </si>
  <si>
    <t>08380</t>
  </si>
  <si>
    <t>SANYO OPT</t>
  </si>
  <si>
    <t>08400</t>
  </si>
  <si>
    <t>SAMSUNG SDI CO. LTD.</t>
  </si>
  <si>
    <t>08430</t>
  </si>
  <si>
    <t>Sato Vietnam Co., Ltd</t>
  </si>
  <si>
    <t>08450</t>
  </si>
  <si>
    <t>Samsung Elec. Co.,Ltd DI Divis</t>
  </si>
  <si>
    <t>08520</t>
  </si>
  <si>
    <t>SANKYOKASEI</t>
  </si>
  <si>
    <t>08540</t>
  </si>
  <si>
    <t>SAMT</t>
  </si>
  <si>
    <t>08550</t>
  </si>
  <si>
    <t>SANICO</t>
  </si>
  <si>
    <t>09110</t>
  </si>
  <si>
    <t>MEIKO TOWADA VIETNAM CO., LTD</t>
  </si>
  <si>
    <t>09220</t>
  </si>
  <si>
    <t>TOVIS</t>
  </si>
  <si>
    <t>10110</t>
  </si>
  <si>
    <t>Haki Electronic Technology HK</t>
  </si>
  <si>
    <t>13490</t>
  </si>
  <si>
    <t>CRESYN Electronics .,ltd</t>
  </si>
  <si>
    <t>13570</t>
  </si>
  <si>
    <t>Kuroda Denso</t>
  </si>
  <si>
    <t>15550</t>
  </si>
  <si>
    <t>Continental Automitive Systems</t>
  </si>
  <si>
    <t>OPPO Mobile Telecommunications corp.,ltd</t>
  </si>
  <si>
    <t>17010</t>
  </si>
  <si>
    <t>Bo Test dieu kien san xuat</t>
  </si>
  <si>
    <t>21590</t>
  </si>
  <si>
    <t>Samsung Electronics Suzhou</t>
  </si>
  <si>
    <t>21830</t>
  </si>
  <si>
    <t>SAMMY</t>
  </si>
  <si>
    <t>JinMing Electronics Co.,Ltd.</t>
  </si>
  <si>
    <t>23590</t>
  </si>
  <si>
    <t>Sumitomo FPC</t>
  </si>
  <si>
    <t>25380</t>
  </si>
  <si>
    <t>Meiko Electronics Co.,Ltd</t>
  </si>
  <si>
    <t>25410</t>
  </si>
  <si>
    <t>SONY EMCS Corporation</t>
  </si>
  <si>
    <t>25470</t>
  </si>
  <si>
    <t>SONY EMCS</t>
  </si>
  <si>
    <t>25810</t>
  </si>
  <si>
    <t>SONY</t>
  </si>
  <si>
    <t>27540</t>
  </si>
  <si>
    <t>JNC</t>
  </si>
  <si>
    <t>27620</t>
  </si>
  <si>
    <t>G-INNOVATIONS</t>
  </si>
  <si>
    <t>30090</t>
  </si>
  <si>
    <t>DOOSUNG TECH VIETNAM Co., LTD</t>
  </si>
  <si>
    <t>30110</t>
  </si>
  <si>
    <t>DREAMTECH CORPORATION</t>
  </si>
  <si>
    <t>31520</t>
  </si>
  <si>
    <t>TAMRON</t>
  </si>
  <si>
    <t>32370</t>
  </si>
  <si>
    <t>OPPO</t>
  </si>
  <si>
    <t>34640</t>
  </si>
  <si>
    <t>Teikoku Tsushin-Noble VN</t>
  </si>
  <si>
    <t>35490</t>
  </si>
  <si>
    <t>Toyo Denso</t>
  </si>
  <si>
    <t>35660</t>
  </si>
  <si>
    <t>TOYODENSEI</t>
  </si>
  <si>
    <t>35880</t>
  </si>
  <si>
    <t>Tokin Electronics (Vietnam)</t>
  </si>
  <si>
    <t>35990</t>
  </si>
  <si>
    <t>NEXTY</t>
  </si>
  <si>
    <t>40080</t>
  </si>
  <si>
    <t>BOSE</t>
  </si>
  <si>
    <t>42590</t>
  </si>
  <si>
    <t>Nissan Techno</t>
  </si>
  <si>
    <t>42750</t>
  </si>
  <si>
    <t>NIDEC SERVO VIETNAM CORPORATION</t>
  </si>
  <si>
    <t>47230</t>
  </si>
  <si>
    <t>VIETTEL</t>
  </si>
  <si>
    <t>47240</t>
  </si>
  <si>
    <t>BKAV Corporation</t>
  </si>
  <si>
    <t>47260</t>
  </si>
  <si>
    <t>VINFAST</t>
  </si>
  <si>
    <t>47280</t>
  </si>
  <si>
    <t>VINSMART</t>
  </si>
  <si>
    <t>49100</t>
  </si>
  <si>
    <t>STANLEY VN</t>
  </si>
  <si>
    <t>49110</t>
  </si>
  <si>
    <t>Xiaomi</t>
  </si>
  <si>
    <t>49120</t>
  </si>
  <si>
    <t>VNPT</t>
  </si>
  <si>
    <t>51180</t>
  </si>
  <si>
    <t>HAMAMATSU</t>
  </si>
  <si>
    <t>51470</t>
  </si>
  <si>
    <t>Harman Becker</t>
  </si>
  <si>
    <t>51490</t>
  </si>
  <si>
    <t>HAMADA</t>
  </si>
  <si>
    <t>51500</t>
  </si>
  <si>
    <t>HANSOL VIETNAM</t>
  </si>
  <si>
    <t>52110</t>
  </si>
  <si>
    <t>Maxell Digital Co.,Ltd.</t>
  </si>
  <si>
    <t>富士ゼロックス</t>
  </si>
  <si>
    <t>53070</t>
  </si>
  <si>
    <t>Foster Electric Co., Ltd</t>
  </si>
  <si>
    <t>53500</t>
  </si>
  <si>
    <t>FUJI FILM</t>
  </si>
  <si>
    <t>53910</t>
  </si>
  <si>
    <t>DENSO TEN</t>
  </si>
  <si>
    <t>53920</t>
  </si>
  <si>
    <t>DENSO TEN 01</t>
  </si>
  <si>
    <t>54030</t>
  </si>
  <si>
    <t>HELLA</t>
  </si>
  <si>
    <t>55110</t>
  </si>
  <si>
    <t>HOSHIDEN</t>
  </si>
  <si>
    <t>55480</t>
  </si>
  <si>
    <t>HONDA LOCK VIETNAM</t>
  </si>
  <si>
    <t>56800</t>
  </si>
  <si>
    <t>ﾊﾟﾅｿﾆｯｸ㈱ｵｰﾄﾓｰﾃｨﾌﾞ社 敦賀事業所</t>
  </si>
  <si>
    <t>56850</t>
  </si>
  <si>
    <t>Partron Co., Ltd.</t>
  </si>
  <si>
    <t>60100</t>
  </si>
  <si>
    <t>Mando-Hella Electronics Corp.</t>
  </si>
  <si>
    <t>61120</t>
  </si>
  <si>
    <t>PANASONIC AVC NETWORK</t>
  </si>
  <si>
    <t>61620</t>
  </si>
  <si>
    <t>ﾊﾟﾅｿﾆｯｸﾓﾊﾞｲﾙｺﾐｭﾆｹｰｼｮﾝｽﾞ㈱</t>
  </si>
  <si>
    <t>62140</t>
  </si>
  <si>
    <t>ミネベアミツミ㈱</t>
  </si>
  <si>
    <t>三菱電機㈱三田製作所</t>
  </si>
  <si>
    <t>63190</t>
  </si>
  <si>
    <t>MURATA</t>
  </si>
  <si>
    <t>㈱メイコー基板生産技術部</t>
  </si>
  <si>
    <t>ﾔﾏﾊﾓｰﾀｰｴﾚｸﾄﾛﾆｸｽ㈱</t>
  </si>
  <si>
    <t>66500</t>
  </si>
  <si>
    <t>日本航空電子工業㈱昭島事業所</t>
  </si>
  <si>
    <t>68350</t>
  </si>
  <si>
    <t>FUJITSU PERIPHERALS LIMITED</t>
  </si>
  <si>
    <t>68410</t>
  </si>
  <si>
    <t>FUJIKOKI</t>
  </si>
  <si>
    <t>72140</t>
  </si>
  <si>
    <t>Kyocera Corporation Yasu Plant</t>
  </si>
  <si>
    <t>77770</t>
  </si>
  <si>
    <t>Meiko Simulation</t>
  </si>
  <si>
    <t>81110</t>
  </si>
  <si>
    <t>LUXSHARE VN</t>
  </si>
  <si>
    <t>84090</t>
  </si>
  <si>
    <t>Leshi</t>
  </si>
  <si>
    <t>85150</t>
  </si>
  <si>
    <t>BOSCH GZ</t>
  </si>
  <si>
    <t>85170</t>
  </si>
  <si>
    <t>Longcher</t>
  </si>
  <si>
    <t>85190</t>
  </si>
  <si>
    <t>BOSCH</t>
  </si>
  <si>
    <t>アルプス電気株式会社システム機器事業部</t>
  </si>
  <si>
    <t>PANASONIC IT</t>
  </si>
  <si>
    <t>NP-175FBH</t>
  </si>
  <si>
    <t>NP-175FBHB</t>
  </si>
  <si>
    <t>DK_01M_</t>
  </si>
  <si>
    <t>Green PSR-2000 CE823HF</t>
  </si>
  <si>
    <t>Green PSR-2000 CE811HF</t>
  </si>
  <si>
    <t>Blue PSR-2000 CE811TIBL3</t>
  </si>
  <si>
    <t>Green PSR-4000 G23K</t>
  </si>
  <si>
    <t>Green PSR-4000 AM03TS</t>
  </si>
  <si>
    <t>Blue PSR-4000 BL01</t>
  </si>
  <si>
    <t>Black PSR-4000 EG23</t>
  </si>
  <si>
    <t>Black PSR-4000 EG30</t>
  </si>
  <si>
    <t>Black PSR-4000 EG70M</t>
  </si>
  <si>
    <t>Green PSR-4000 SP08T3</t>
  </si>
  <si>
    <t>Green PSR-4000 AM02SP</t>
  </si>
  <si>
    <t>Green PSR-4000 AM10SP</t>
  </si>
  <si>
    <t>White PSR-2000 FR603W1</t>
  </si>
  <si>
    <t>Green PSR-4000 MH</t>
  </si>
  <si>
    <t>Black PSR-2000 CE880E</t>
  </si>
  <si>
    <t>Green PSR-4000 AM05TS</t>
  </si>
  <si>
    <t>Green PSR-4000 AM81</t>
  </si>
  <si>
    <t xml:space="preserve">Green Probimer77/7179 </t>
  </si>
  <si>
    <t>Black SR-500 DMK20</t>
  </si>
  <si>
    <t>PSR-550B B23</t>
  </si>
  <si>
    <t>ZSR-150 ZM-400WF</t>
  </si>
  <si>
    <t>ShowaDenko</t>
  </si>
  <si>
    <t>Mắt lưới sợi thủy tinh</t>
  </si>
  <si>
    <t>Trọng lượng sợi thủy tinh (X1) (g/m3)</t>
  </si>
  <si>
    <t>ガラスクロス</t>
  </si>
  <si>
    <t>ガラスクロス重量</t>
  </si>
  <si>
    <t>Loại PP</t>
  </si>
  <si>
    <t>Mật độ nhựa ( Y , g/cm3) (*2)</t>
  </si>
  <si>
    <t>プリプレグ</t>
  </si>
  <si>
    <t>樹脂密度(＊2)</t>
  </si>
  <si>
    <t>R-1551WN</t>
  </si>
  <si>
    <t>R-1551</t>
  </si>
  <si>
    <t>R-1551W</t>
  </si>
  <si>
    <t>R-1551MW</t>
  </si>
  <si>
    <t>R-1650M</t>
  </si>
  <si>
    <t>R-1661</t>
  </si>
  <si>
    <t>R-1661GZ</t>
  </si>
  <si>
    <t>R-1530</t>
  </si>
  <si>
    <t>R-1650E</t>
  </si>
  <si>
    <t>GEA-E-75G</t>
  </si>
  <si>
    <t>GEA-E-78G</t>
  </si>
  <si>
    <t>EM-825B(I)</t>
  </si>
  <si>
    <t>EM-827B</t>
  </si>
  <si>
    <t>GA-HFB-14</t>
  </si>
  <si>
    <t>DS-8402</t>
  </si>
  <si>
    <t>DS-7402-BS</t>
  </si>
  <si>
    <t>NP-155FB</t>
  </si>
  <si>
    <t>NPGN-150B</t>
  </si>
  <si>
    <t>EI-6768DS</t>
  </si>
  <si>
    <t>IT-158BS</t>
  </si>
  <si>
    <t>NP-175FB</t>
  </si>
  <si>
    <t>IT-150GBSM</t>
  </si>
  <si>
    <t>EM-37B(Z)</t>
    <phoneticPr fontId="0"/>
  </si>
  <si>
    <t>EM-526B</t>
  </si>
  <si>
    <t>EM-A5B</t>
  </si>
  <si>
    <t>GEA-700G</t>
  </si>
  <si>
    <t>Red AE1125HD</t>
  </si>
  <si>
    <t>Red AE1125DS</t>
  </si>
  <si>
    <t>White THP-100 Z2</t>
  </si>
  <si>
    <t>White PHP-900IR 10FE</t>
  </si>
  <si>
    <t>Black PSR-4000 PF9</t>
  </si>
  <si>
    <t>Blue PSR-4000 PF9</t>
  </si>
  <si>
    <t>Green PSR-4000 PF10</t>
  </si>
  <si>
    <t>White THP-100DX7</t>
  </si>
  <si>
    <t>Green S-500 FM01</t>
  </si>
  <si>
    <t>Yellow S-200Y ND</t>
  </si>
  <si>
    <t>Black S-200E/HD-3</t>
  </si>
  <si>
    <t>White S-200W/HD-3</t>
  </si>
  <si>
    <t>R-1566MW</t>
  </si>
  <si>
    <t>R-1566W</t>
  </si>
  <si>
    <t>R-1566WN</t>
  </si>
  <si>
    <t>R-1755M</t>
  </si>
  <si>
    <t>R-1533</t>
  </si>
  <si>
    <r>
      <t xml:space="preserve">RAW_THK
</t>
    </r>
    <r>
      <rPr>
        <b/>
        <sz val="8"/>
        <color rgb="FFFF0000"/>
        <rFont val="Courier New"/>
        <family val="3"/>
      </rPr>
      <t>Cần xóa bỏ khi Import</t>
    </r>
  </si>
  <si>
    <t>R-1755E</t>
  </si>
  <si>
    <t>Blue PSR-550B B23</t>
  </si>
  <si>
    <t>DS-8402H</t>
  </si>
  <si>
    <t>EM-A50</t>
  </si>
  <si>
    <t>TU-747 HF</t>
  </si>
  <si>
    <t>TUC</t>
  </si>
  <si>
    <t>TU-747P HF</t>
  </si>
  <si>
    <t>EM-825(I)</t>
  </si>
  <si>
    <t>WDP</t>
  </si>
  <si>
    <t>Schweizer</t>
  </si>
  <si>
    <t>EM-370(5) Dk Df 20210816 for Meiko).pdf</t>
  </si>
  <si>
    <t>BAKING (MATERIAL CUTTING)</t>
  </si>
  <si>
    <t>CIRCUIT FORMATION (INNER)</t>
  </si>
  <si>
    <t>AOI (INNER)</t>
  </si>
  <si>
    <t>BROWN TREATMENT</t>
  </si>
  <si>
    <t>LAMINATION</t>
  </si>
  <si>
    <t>OS AOI (INNER)</t>
  </si>
  <si>
    <t>CL LAMINATION</t>
  </si>
  <si>
    <t>X-RAY DRILLING</t>
  </si>
  <si>
    <t>INNER LAYER ROUTING</t>
  </si>
  <si>
    <t>INNER LAYER INSPECTION</t>
  </si>
  <si>
    <t>NC DRILLING</t>
  </si>
  <si>
    <t>DESMEAR - HORIZONTAL</t>
  </si>
  <si>
    <t>WATER RINSING(PRE-DESMEAR)</t>
  </si>
  <si>
    <t>DESMEAR</t>
  </si>
  <si>
    <t>HALF ETCHING</t>
  </si>
  <si>
    <t>CONF</t>
  </si>
  <si>
    <t>AOI AFTER CONF</t>
  </si>
  <si>
    <t>LASER PRE-TREATMENT</t>
  </si>
  <si>
    <t>LASER DRILLING</t>
  </si>
  <si>
    <t>FILLED PLATING</t>
  </si>
  <si>
    <t>GLASS ETCHING</t>
  </si>
  <si>
    <t>ACID RINSING</t>
  </si>
  <si>
    <t>ELECTROLESS COPPER PLATING</t>
  </si>
  <si>
    <t>HORIZONTAL CHEMI.CU PLATING</t>
  </si>
  <si>
    <t>ELECTRO PLATING</t>
  </si>
  <si>
    <t>HOLE PLUGGING</t>
  </si>
  <si>
    <t>BELT SCRUBBING</t>
  </si>
  <si>
    <t>LASER HOLE INSPECTION</t>
  </si>
  <si>
    <t>SOFT ETCHING</t>
  </si>
  <si>
    <t>GRINDING</t>
  </si>
  <si>
    <t>DS-8402H-BS</t>
  </si>
  <si>
    <t>S-200E</t>
  </si>
  <si>
    <t>S-200W</t>
  </si>
  <si>
    <t>813-UTR-D</t>
  </si>
  <si>
    <t>ULTRASONIC RINSING</t>
  </si>
  <si>
    <t>JOULE HEAT &amp; VOLTAGE TEST</t>
  </si>
  <si>
    <t>814-JOU-D</t>
  </si>
  <si>
    <t>R-1766GH</t>
  </si>
  <si>
    <t>027-FLA-D</t>
  </si>
  <si>
    <t>FLASH ETCHING</t>
  </si>
  <si>
    <t>615-STP-D</t>
  </si>
  <si>
    <t>STRIPPING</t>
  </si>
  <si>
    <t>668-IM-D</t>
  </si>
  <si>
    <t>IMPEDANCE MEASUREMENT</t>
  </si>
  <si>
    <t>S1150GB</t>
  </si>
  <si>
    <t>S1150G</t>
  </si>
  <si>
    <t>NP-155FTL</t>
  </si>
  <si>
    <t>NP-155FR</t>
  </si>
  <si>
    <t>DS-8402H(L)</t>
  </si>
  <si>
    <t>DS-8402H-BS(L)</t>
  </si>
  <si>
    <t>EM-827(I)</t>
  </si>
  <si>
    <t>EM-827B(I)</t>
  </si>
  <si>
    <t>R-A555W</t>
  </si>
  <si>
    <t>R-A550W</t>
  </si>
  <si>
    <t>IT-150GTC</t>
  </si>
  <si>
    <t>IT-158TC</t>
  </si>
  <si>
    <t>IT-170GT</t>
  </si>
  <si>
    <t>IT-180ATC</t>
  </si>
  <si>
    <t>IT-170GTB</t>
  </si>
  <si>
    <t>IT-180ABS</t>
  </si>
  <si>
    <t>EM-370(Z) Dk Df 20230316 (+43mil for Meiko)_R1.pdf</t>
  </si>
  <si>
    <t>AUTOLAD2GHB</t>
  </si>
  <si>
    <t>AUTOLAD2GH</t>
  </si>
  <si>
    <t>DS-8502LC-BS</t>
  </si>
  <si>
    <t>DS-8502SQ-BS</t>
  </si>
  <si>
    <t>DS-8502SQ</t>
  </si>
  <si>
    <t>DS-8502LC</t>
  </si>
  <si>
    <t>EM-528B</t>
  </si>
  <si>
    <t>EM-891B</t>
  </si>
  <si>
    <t>EM-827</t>
  </si>
  <si>
    <t>EM-526</t>
  </si>
  <si>
    <t>EM-528</t>
  </si>
  <si>
    <t>EM-891</t>
  </si>
  <si>
    <t>NP-155FBHB</t>
  </si>
  <si>
    <t>NP-155FBH</t>
  </si>
  <si>
    <t>DK_5GHZ_</t>
  </si>
  <si>
    <t>DF_5GHZ_</t>
  </si>
  <si>
    <t>DK_10GHZ_</t>
  </si>
  <si>
    <t>DF_10GHZ_</t>
  </si>
  <si>
    <t>DK_15GHZ_</t>
  </si>
  <si>
    <t>DF_15GHZ_</t>
  </si>
  <si>
    <t>DK_20GHZ_</t>
  </si>
  <si>
    <t>DF_20GHZ_</t>
  </si>
  <si>
    <t>DK_16GHZ_</t>
  </si>
  <si>
    <t>DF_16GHZ_</t>
  </si>
  <si>
    <t>DK_2GHZ_</t>
  </si>
  <si>
    <t>DF_2GHZ_</t>
  </si>
  <si>
    <t>DK_3GHZ_</t>
  </si>
  <si>
    <t>DF_3GHZ_</t>
  </si>
  <si>
    <t>DK_4GHZ_</t>
  </si>
  <si>
    <t>DF_4GHZ_</t>
  </si>
  <si>
    <t>DK_6GHZ_</t>
  </si>
  <si>
    <t>DF_6GHZ_</t>
  </si>
  <si>
    <t>DK_7GHZ_</t>
  </si>
  <si>
    <t>DF_7GHZ_</t>
  </si>
  <si>
    <t>DK_8GHZ_</t>
  </si>
  <si>
    <t>DF_8GHZ_</t>
  </si>
  <si>
    <t>DK_9GHZ_</t>
  </si>
  <si>
    <t>DF_9GHZ_</t>
  </si>
  <si>
    <t>DK_25GHZ_</t>
  </si>
  <si>
    <t>DF_25GHZ_</t>
  </si>
  <si>
    <t>DK_30GHZ_</t>
  </si>
  <si>
    <t>DF_30GHZ_</t>
  </si>
  <si>
    <t>DK_35GHZ_</t>
  </si>
  <si>
    <t>DF_35GHZ_</t>
  </si>
  <si>
    <t>DK_40GHZ_</t>
  </si>
  <si>
    <t>DF_40GHZ_</t>
  </si>
  <si>
    <t>DK_45GHZ_</t>
  </si>
  <si>
    <t>DF_45GHZ_</t>
  </si>
  <si>
    <t>DK_50GHZ_</t>
  </si>
  <si>
    <t>DF_50GHZ_</t>
  </si>
  <si>
    <t>DK_55GHZ_</t>
  </si>
  <si>
    <t>DF_55GHZ_</t>
  </si>
  <si>
    <t>TU-862T</t>
  </si>
  <si>
    <t>TU-862P T</t>
  </si>
  <si>
    <t>Z</t>
  </si>
  <si>
    <t>21µ</t>
  </si>
  <si>
    <t>DK_0_01GHZ_</t>
  </si>
  <si>
    <t>DF_0_01GHZ_</t>
  </si>
  <si>
    <t>DK_0_02GHZ_</t>
  </si>
  <si>
    <t>DF_0_02GHZ_</t>
  </si>
  <si>
    <t>EM-890</t>
  </si>
  <si>
    <t>EM-89B</t>
  </si>
  <si>
    <t>DK_0_001GHZ_</t>
  </si>
  <si>
    <t>DF_0_001GHZ_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</si>
</sst>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_);[Red]\(0.00\)"/>
    <numFmt numFmtId="165" formatCode="0.000_);[Red]\(0.000\)"/>
    <numFmt numFmtId="166" formatCode="0.0"/>
    <numFmt numFmtId="167" formatCode="0.000"/>
    <numFmt numFmtId="168" formatCode="0.0000"/>
    <numFmt numFmtId="169" formatCode="0.00000"/>
  </numFmts>
  <fonts count="55">
    <font>
      <sz val="10"/>
      <name val="Arial"/>
      <family val="2"/>
    </font>
    <font>
      <sz val="11"/>
      <color theme="1"/>
      <name val="Calibri"/>
      <family val="2"/>
      <scheme val="minor"/>
    </font>
    <font>
      <sz val="11"/>
      <color theme="1"/>
      <name val="Calibri"/>
      <family val="2"/>
      <scheme val="minor"/>
    </font>
    <font>
      <sz val="10"/>
      <name val="Arial"/>
      <family val="2"/>
    </font>
    <font>
      <sz val="12"/>
      <color indexed="8"/>
      <name val="宋体"/>
      <charset val="134"/>
    </font>
    <font>
      <b/>
      <sz val="8"/>
      <name val="Arial"/>
      <family val="2"/>
    </font>
    <font>
      <b/>
      <sz val="8"/>
      <name val="MingLiU"/>
      <family val="3"/>
    </font>
    <font>
      <sz val="10"/>
      <name val="MingLiU"/>
      <family val="3"/>
    </font>
    <font>
      <b/>
      <sz val="8"/>
      <color indexed="81"/>
      <name val="Tahoma"/>
      <family val="2"/>
    </font>
    <font>
      <sz val="10"/>
      <name val="Courier New"/>
      <family val="3"/>
    </font>
    <font>
      <b/>
      <sz val="8"/>
      <name val="Courier New"/>
      <family val="3"/>
    </font>
    <font>
      <b/>
      <sz val="8"/>
      <color indexed="8"/>
      <name val="Arial"/>
      <family val="2"/>
    </font>
    <font>
      <sz val="8"/>
      <name val="Arial"/>
      <family val="2"/>
    </font>
    <font>
      <sz val="10"/>
      <name val="Arial"/>
      <family val="2"/>
    </font>
    <font>
      <sz val="10"/>
      <name val="Arial"/>
      <family val="2"/>
    </font>
    <font>
      <sz val="10"/>
      <name val="Arial"/>
      <family val="2"/>
    </font>
    <font>
      <b/>
      <sz val="10"/>
      <name val="Courier New"/>
      <family val="3"/>
    </font>
    <font>
      <sz val="10"/>
      <color indexed="81"/>
      <name val="Tahoma"/>
      <family val="2"/>
    </font>
    <font>
      <b/>
      <sz val="10"/>
      <color indexed="81"/>
      <name val="Tahoma"/>
      <family val="2"/>
    </font>
    <font>
      <b/>
      <sz val="10"/>
      <name val="Arial"/>
      <family val="2"/>
    </font>
    <font>
      <b/>
      <sz val="9"/>
      <name val="細明體"/>
      <family val="3"/>
      <charset val="136"/>
    </font>
    <font>
      <b/>
      <sz val="20"/>
      <color indexed="10"/>
      <name val="Arial"/>
      <family val="2"/>
    </font>
    <font>
      <b/>
      <sz val="20"/>
      <name val="Arial"/>
      <family val="2"/>
    </font>
    <font>
      <sz val="8"/>
      <color indexed="81"/>
      <name val="Tahoma"/>
      <family val="2"/>
    </font>
    <font>
      <sz val="12"/>
      <name val="新細明體"/>
      <family val="1"/>
      <charset val="136"/>
    </font>
    <font>
      <sz val="10"/>
      <color indexed="8"/>
      <name val="Courier New"/>
      <family val="3"/>
    </font>
    <font>
      <b/>
      <sz val="10"/>
      <color indexed="8"/>
      <name val="Times New Roman"/>
      <family val="1"/>
    </font>
    <font>
      <sz val="10"/>
      <color indexed="8"/>
      <name val="Times New Roman"/>
      <family val="1"/>
    </font>
    <font>
      <b/>
      <sz val="9"/>
      <color indexed="81"/>
      <name val="Tahoma"/>
      <family val="2"/>
    </font>
    <font>
      <sz val="9"/>
      <color indexed="81"/>
      <name val="Tahoma"/>
      <family val="2"/>
    </font>
    <font>
      <sz val="11"/>
      <color theme="1"/>
      <name val="Calibri"/>
      <family val="2"/>
      <scheme val="minor"/>
    </font>
    <font>
      <sz val="10"/>
      <color indexed="8"/>
      <name val="Arial"/>
      <family val="2"/>
    </font>
    <font>
      <b/>
      <sz val="10"/>
      <color indexed="8"/>
      <name val="Courier New"/>
      <family val="3"/>
    </font>
    <font>
      <u/>
      <sz val="10"/>
      <color theme="10"/>
      <name val="Arial"/>
      <family val="2"/>
    </font>
    <font>
      <b/>
      <sz val="8"/>
      <name val="Consolas"/>
      <family val="3"/>
    </font>
    <font>
      <b/>
      <sz val="10"/>
      <color rgb="FFFF0000"/>
      <name val="Arial"/>
      <family val="2"/>
    </font>
    <font>
      <sz val="10"/>
      <color theme="10"/>
      <name val="Arial"/>
      <family val="2"/>
    </font>
    <font>
      <b/>
      <sz val="8"/>
      <color indexed="8"/>
      <name val="Courier New"/>
      <family val="3"/>
    </font>
    <font>
      <sz val="8"/>
      <name val="Courier New"/>
      <family val="3"/>
    </font>
    <font>
      <sz val="8"/>
      <color indexed="8"/>
      <name val="Courier New"/>
      <family val="3"/>
    </font>
    <font>
      <sz val="10"/>
      <color rgb="FFFF0000"/>
      <name val="Courier New"/>
      <family val="3"/>
    </font>
    <font>
      <sz val="10"/>
      <color theme="1"/>
      <name val="Courier New"/>
      <family val="3"/>
    </font>
    <font>
      <strike/>
      <sz val="10"/>
      <name val="Arial"/>
      <family val="2"/>
    </font>
    <font>
      <sz val="10"/>
      <color rgb="FF00B050"/>
      <name val="Arial"/>
      <family val="2"/>
    </font>
    <font>
      <sz val="10"/>
      <name val="Times New Roman"/>
      <family val="1"/>
    </font>
    <font>
      <sz val="11"/>
      <name val="ＭＳ Ｐゴシック"/>
      <family val="3"/>
      <charset val="128"/>
    </font>
    <font>
      <sz val="10"/>
      <color rgb="FF0000FF"/>
      <name val="Times New Roman"/>
      <family val="1"/>
    </font>
    <font>
      <sz val="11"/>
      <name val="Times New Roman"/>
      <family val="1"/>
    </font>
    <font>
      <sz val="11"/>
      <color rgb="FF0000FF"/>
      <name val="Times New Roman"/>
      <family val="1"/>
    </font>
    <font>
      <b/>
      <sz val="8"/>
      <color rgb="FFFF0000"/>
      <name val="Courier New"/>
      <family val="3"/>
    </font>
    <font>
      <sz val="10"/>
      <color rgb="FFFF0000"/>
      <name val="Arial"/>
      <family val="2"/>
    </font>
    <font>
      <sz val="10"/>
      <color theme="1"/>
      <name val="Arial"/>
      <family val="2"/>
    </font>
    <font>
      <sz val="10"/>
      <color rgb="FF00B0F0"/>
      <name val="Arial"/>
      <family val="2"/>
    </font>
    <font>
      <sz val="10"/>
      <color rgb="FF00B0F0"/>
      <name val="Courier New"/>
      <family val="3"/>
    </font>
    <font>
      <sz val="10"/>
      <color rgb="FF7030A0"/>
      <name val="Courier New"/>
      <family val="3"/>
    </font>
  </fonts>
  <fills count="28">
    <fill>
      <patternFill patternType="none"/>
    </fill>
    <fill>
      <patternFill patternType="gray125"/>
    </fill>
    <fill>
      <patternFill patternType="solid">
        <fgColor indexed="47"/>
        <bgColor indexed="64"/>
      </patternFill>
    </fill>
    <fill>
      <patternFill patternType="solid">
        <fgColor indexed="13"/>
        <bgColor indexed="64"/>
      </patternFill>
    </fill>
    <fill>
      <patternFill patternType="solid">
        <fgColor indexed="45"/>
        <bgColor indexed="64"/>
      </patternFill>
    </fill>
    <fill>
      <patternFill patternType="solid">
        <fgColor indexed="42"/>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1"/>
        <bgColor indexed="64"/>
      </patternFill>
    </fill>
    <fill>
      <patternFill patternType="solid">
        <fgColor indexed="43"/>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3399"/>
        <bgColor indexed="64"/>
      </patternFill>
    </fill>
    <fill>
      <patternFill patternType="solid">
        <fgColor rgb="FFFF00FF"/>
        <bgColor indexed="64"/>
      </patternFill>
    </fill>
    <fill>
      <patternFill patternType="solid">
        <fgColor rgb="FFFFC000"/>
        <bgColor indexed="64"/>
      </patternFill>
    </fill>
    <fill>
      <patternFill patternType="solid">
        <fgColor theme="1" tint="0.499984740745262"/>
        <bgColor indexed="64"/>
      </patternFill>
    </fill>
    <fill>
      <patternFill patternType="solid">
        <fgColor rgb="FF00B0F0"/>
        <bgColor indexed="64"/>
      </patternFill>
    </fill>
    <fill>
      <patternFill patternType="solid">
        <fgColor rgb="FFFF000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0"/>
        <bgColor indexed="64"/>
      </patternFill>
    </fill>
    <fill>
      <patternFill patternType="solid">
        <fgColor theme="5"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ck">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s>
  <cellStyleXfs count="23">
    <xf numFmtId="0" fontId="0" fillId="0" borderId="0"/>
    <xf numFmtId="0" fontId="13" fillId="0" borderId="0"/>
    <xf numFmtId="0" fontId="30" fillId="0" borderId="0"/>
    <xf numFmtId="0" fontId="13" fillId="0" borderId="0"/>
    <xf numFmtId="0" fontId="14" fillId="0" borderId="0"/>
    <xf numFmtId="0" fontId="3" fillId="0" borderId="0"/>
    <xf numFmtId="0" fontId="3" fillId="0" borderId="0"/>
    <xf numFmtId="0" fontId="13" fillId="0" borderId="0"/>
    <xf numFmtId="0" fontId="4" fillId="0" borderId="0"/>
    <xf numFmtId="0" fontId="13" fillId="0" borderId="0"/>
    <xf numFmtId="0" fontId="24" fillId="0" borderId="0"/>
    <xf numFmtId="0" fontId="31" fillId="0" borderId="0">
      <alignment vertical="top"/>
    </xf>
    <xf numFmtId="0" fontId="31" fillId="0" borderId="0">
      <alignment vertical="top"/>
    </xf>
    <xf numFmtId="0" fontId="31" fillId="0" borderId="0">
      <alignment vertical="top"/>
    </xf>
    <xf numFmtId="0" fontId="33" fillId="0" borderId="0" applyNumberFormat="0" applyFill="0" applyBorder="0" applyAlignment="0" applyProtection="0"/>
    <xf numFmtId="0" fontId="3" fillId="0" borderId="0"/>
    <xf numFmtId="0" fontId="2" fillId="0" borderId="0"/>
    <xf numFmtId="0" fontId="3" fillId="0" borderId="0"/>
    <xf numFmtId="0" fontId="45" fillId="0" borderId="0"/>
    <xf numFmtId="0" fontId="45" fillId="0" borderId="0">
      <alignment vertical="center"/>
    </xf>
    <xf numFmtId="0" fontId="45" fillId="0" borderId="0">
      <alignment vertical="center"/>
    </xf>
    <xf numFmtId="0" fontId="1" fillId="0" borderId="0"/>
    <xf numFmtId="0" fontId="1" fillId="0" borderId="0"/>
  </cellStyleXfs>
  <cellXfs count="402">
    <xf numFmtId="0" fontId="0" fillId="0" borderId="0" xfId="0"/>
    <xf numFmtId="0" fontId="0" fillId="0" borderId="1" xfId="0" applyBorder="1"/>
    <xf numFmtId="0" fontId="0" fillId="0" borderId="1" xfId="0" applyFill="1" applyBorder="1"/>
    <xf numFmtId="0" fontId="3" fillId="2" borderId="1" xfId="0" applyFont="1" applyFill="1" applyBorder="1"/>
    <xf numFmtId="0" fontId="3" fillId="2" borderId="1" xfId="0" applyFont="1" applyFill="1" applyBorder="1" applyAlignment="1">
      <alignment horizontal="center"/>
    </xf>
    <xf numFmtId="0" fontId="5" fillId="2" borderId="2" xfId="0" applyNumberFormat="1" applyFont="1" applyFill="1" applyBorder="1" applyAlignment="1">
      <alignment horizontal="center" vertical="center" wrapText="1"/>
    </xf>
    <xf numFmtId="0" fontId="0" fillId="2" borderId="1" xfId="0" applyFill="1" applyBorder="1"/>
    <xf numFmtId="0" fontId="0" fillId="3" borderId="1" xfId="0" applyFill="1" applyBorder="1"/>
    <xf numFmtId="0" fontId="15" fillId="2" borderId="1" xfId="4" quotePrefix="1" applyFont="1" applyFill="1" applyBorder="1" applyAlignment="1">
      <alignment horizontal="center"/>
    </xf>
    <xf numFmtId="0" fontId="7" fillId="2" borderId="1" xfId="0" applyFont="1" applyFill="1" applyBorder="1"/>
    <xf numFmtId="0" fontId="3" fillId="2" borderId="1" xfId="0" applyFont="1" applyFill="1" applyBorder="1" applyAlignment="1">
      <alignment horizontal="center" vertical="center"/>
    </xf>
    <xf numFmtId="0" fontId="3" fillId="2" borderId="1" xfId="5" quotePrefix="1" applyFont="1" applyFill="1" applyBorder="1" applyAlignment="1">
      <alignment horizontal="center"/>
    </xf>
    <xf numFmtId="0" fontId="10" fillId="2" borderId="1"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2" borderId="1" xfId="0" applyFill="1" applyBorder="1" applyAlignment="1">
      <alignment horizontal="center" vertical="center"/>
    </xf>
    <xf numFmtId="0" fontId="19" fillId="2" borderId="1" xfId="0" applyFont="1" applyFill="1" applyBorder="1"/>
    <xf numFmtId="0" fontId="19" fillId="0" borderId="0" xfId="0" applyFont="1"/>
    <xf numFmtId="49" fontId="3" fillId="2" borderId="1" xfId="0" applyNumberFormat="1" applyFont="1" applyFill="1" applyBorder="1" applyAlignment="1">
      <alignment horizontal="center" vertical="center"/>
    </xf>
    <xf numFmtId="0" fontId="3" fillId="0" borderId="1" xfId="0" applyFont="1" applyBorder="1" applyAlignment="1">
      <alignment horizontal="centerContinuous"/>
    </xf>
    <xf numFmtId="0" fontId="3" fillId="0" borderId="1" xfId="0" applyFont="1" applyBorder="1"/>
    <xf numFmtId="0" fontId="3" fillId="2" borderId="1" xfId="0" applyFont="1" applyFill="1" applyBorder="1" applyAlignment="1">
      <alignment horizontal="center" vertical="center" wrapText="1"/>
    </xf>
    <xf numFmtId="0" fontId="19" fillId="0" borderId="1" xfId="0" applyFont="1" applyFill="1" applyBorder="1" applyAlignment="1">
      <alignment horizontal="center" vertical="center" wrapText="1"/>
    </xf>
    <xf numFmtId="0" fontId="19" fillId="0" borderId="1" xfId="0" applyFont="1" applyFill="1" applyBorder="1" applyAlignment="1">
      <alignment horizontal="center" vertical="top" wrapText="1"/>
    </xf>
    <xf numFmtId="0" fontId="3" fillId="0" borderId="1" xfId="0" applyFont="1" applyFill="1" applyBorder="1"/>
    <xf numFmtId="0" fontId="19" fillId="0" borderId="1" xfId="0" applyFont="1" applyFill="1" applyBorder="1" applyAlignment="1">
      <alignment horizontal="center" vertical="center"/>
    </xf>
    <xf numFmtId="0" fontId="19" fillId="0" borderId="1" xfId="0" applyFont="1" applyFill="1" applyBorder="1" applyAlignment="1">
      <alignment horizontal="center" vertical="top"/>
    </xf>
    <xf numFmtId="0" fontId="19" fillId="0" borderId="1" xfId="0" applyFont="1" applyBorder="1" applyAlignment="1">
      <alignment vertical="center"/>
    </xf>
    <xf numFmtId="0" fontId="19" fillId="0" borderId="1" xfId="0" applyFont="1" applyBorder="1" applyAlignment="1">
      <alignment horizontal="center" vertical="top"/>
    </xf>
    <xf numFmtId="0" fontId="3" fillId="0" borderId="1" xfId="0" applyFont="1" applyBorder="1" applyAlignment="1">
      <alignment horizontal="center" vertical="top"/>
    </xf>
    <xf numFmtId="0" fontId="3" fillId="0" borderId="1" xfId="0" applyFont="1" applyBorder="1" applyAlignment="1">
      <alignment vertical="center"/>
    </xf>
    <xf numFmtId="0" fontId="3" fillId="0" borderId="1" xfId="0" applyFont="1" applyBorder="1" applyAlignment="1"/>
    <xf numFmtId="0" fontId="19" fillId="2" borderId="1" xfId="0" applyFont="1" applyFill="1" applyBorder="1" applyAlignment="1">
      <alignment horizontal="center"/>
    </xf>
    <xf numFmtId="0" fontId="0" fillId="4" borderId="1" xfId="0" applyFill="1" applyBorder="1"/>
    <xf numFmtId="0" fontId="21" fillId="0" borderId="0" xfId="0" applyFont="1"/>
    <xf numFmtId="0" fontId="22"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3" borderId="1" xfId="0" quotePrefix="1" applyFill="1" applyBorder="1" applyAlignment="1">
      <alignment horizontal="center"/>
    </xf>
    <xf numFmtId="0" fontId="0" fillId="0" borderId="1" xfId="0" applyBorder="1" applyAlignment="1">
      <alignment horizontal="center"/>
    </xf>
    <xf numFmtId="0" fontId="9" fillId="0" borderId="0" xfId="3" applyNumberFormat="1" applyFont="1" applyFill="1" applyBorder="1" applyAlignment="1">
      <alignment horizontal="left" vertical="center"/>
    </xf>
    <xf numFmtId="0" fontId="9" fillId="0" borderId="0" xfId="3" applyNumberFormat="1" applyFont="1" applyFill="1" applyBorder="1" applyAlignment="1">
      <alignment horizontal="center" vertical="center"/>
    </xf>
    <xf numFmtId="166" fontId="9" fillId="0" borderId="0" xfId="3" applyNumberFormat="1" applyFont="1" applyFill="1" applyBorder="1" applyAlignment="1">
      <alignment horizontal="center" vertical="center"/>
    </xf>
    <xf numFmtId="0" fontId="9" fillId="0" borderId="0" xfId="3" applyNumberFormat="1" applyFont="1" applyFill="1" applyBorder="1" applyAlignment="1">
      <alignment horizontal="right" vertical="center" indent="2"/>
    </xf>
    <xf numFmtId="168" fontId="9" fillId="0" borderId="0" xfId="3" applyNumberFormat="1" applyFont="1" applyFill="1" applyBorder="1" applyAlignment="1">
      <alignment horizontal="right" vertical="center" indent="2"/>
    </xf>
    <xf numFmtId="0" fontId="9" fillId="0" borderId="0" xfId="3" applyFont="1" applyFill="1" applyBorder="1"/>
    <xf numFmtId="167" fontId="9" fillId="0" borderId="0" xfId="3" applyNumberFormat="1" applyFont="1" applyFill="1" applyBorder="1" applyAlignment="1">
      <alignment horizontal="center" vertical="center"/>
    </xf>
    <xf numFmtId="169" fontId="9" fillId="0" borderId="0" xfId="3" applyNumberFormat="1" applyFont="1" applyFill="1" applyBorder="1" applyAlignment="1">
      <alignment horizontal="center" vertical="center"/>
    </xf>
    <xf numFmtId="0" fontId="9" fillId="0" borderId="0" xfId="3" applyFont="1" applyFill="1" applyBorder="1" applyAlignment="1">
      <alignment horizontal="center" vertical="center"/>
    </xf>
    <xf numFmtId="0" fontId="9" fillId="0" borderId="0" xfId="3" applyNumberFormat="1" applyFont="1" applyFill="1" applyBorder="1" applyAlignment="1">
      <alignment horizontal="center" vertical="center" wrapText="1"/>
    </xf>
    <xf numFmtId="0" fontId="5" fillId="0" borderId="0" xfId="0" applyNumberFormat="1" applyFont="1" applyFill="1" applyBorder="1" applyAlignment="1">
      <alignment horizontal="center" vertical="center" wrapText="1"/>
    </xf>
    <xf numFmtId="0" fontId="9" fillId="0" borderId="0" xfId="0" applyNumberFormat="1" applyFont="1" applyFill="1" applyBorder="1" applyAlignment="1">
      <alignment horizontal="left" vertical="center"/>
    </xf>
    <xf numFmtId="0" fontId="9" fillId="0" borderId="0" xfId="0" applyNumberFormat="1" applyFont="1" applyFill="1" applyBorder="1" applyAlignment="1">
      <alignment horizontal="center" vertical="center"/>
    </xf>
    <xf numFmtId="167" fontId="9" fillId="0" borderId="0" xfId="0" applyNumberFormat="1" applyFont="1" applyFill="1" applyBorder="1" applyAlignment="1">
      <alignment horizontal="center" vertical="center"/>
    </xf>
    <xf numFmtId="2" fontId="9" fillId="0" borderId="0" xfId="0" applyNumberFormat="1" applyFont="1" applyFill="1" applyBorder="1" applyAlignment="1">
      <alignment horizontal="center" vertical="center"/>
    </xf>
    <xf numFmtId="0" fontId="9" fillId="0" borderId="0" xfId="6" applyFont="1" applyFill="1" applyBorder="1" applyAlignment="1" applyProtection="1">
      <alignment horizontal="center"/>
      <protection locked="0"/>
    </xf>
    <xf numFmtId="165" fontId="9" fillId="0" borderId="0" xfId="6" applyNumberFormat="1" applyFont="1" applyFill="1" applyBorder="1" applyAlignment="1" applyProtection="1">
      <alignment horizontal="center"/>
      <protection locked="0"/>
    </xf>
    <xf numFmtId="0" fontId="5" fillId="0" borderId="0" xfId="0" applyNumberFormat="1" applyFont="1" applyBorder="1" applyAlignment="1">
      <alignment horizontal="center" vertical="center" wrapText="1"/>
    </xf>
    <xf numFmtId="0" fontId="9" fillId="0" borderId="0" xfId="4" applyFont="1" applyFill="1" applyBorder="1" applyAlignment="1">
      <alignment horizontal="center"/>
    </xf>
    <xf numFmtId="0" fontId="9" fillId="0" borderId="0" xfId="0" applyNumberFormat="1" applyFont="1" applyBorder="1" applyAlignment="1">
      <alignment horizontal="center" vertical="center"/>
    </xf>
    <xf numFmtId="0" fontId="9" fillId="0" borderId="0" xfId="0" applyFont="1" applyFill="1" applyBorder="1"/>
    <xf numFmtId="165" fontId="9" fillId="0" borderId="0" xfId="6" applyNumberFormat="1" applyFont="1" applyFill="1" applyBorder="1" applyProtection="1">
      <protection locked="0"/>
    </xf>
    <xf numFmtId="0" fontId="9" fillId="0" borderId="0" xfId="6" applyFont="1" applyFill="1" applyBorder="1" applyProtection="1">
      <protection locked="0"/>
    </xf>
    <xf numFmtId="0" fontId="0" fillId="0" borderId="0" xfId="0" applyAlignment="1">
      <alignment horizontal="center"/>
    </xf>
    <xf numFmtId="0" fontId="0" fillId="0" borderId="0" xfId="0" applyAlignment="1">
      <alignment horizontal="right" indent="2"/>
    </xf>
    <xf numFmtId="0" fontId="0" fillId="0" borderId="0" xfId="0" applyNumberFormat="1" applyAlignment="1">
      <alignment horizontal="center"/>
    </xf>
    <xf numFmtId="0" fontId="0" fillId="4" borderId="0" xfId="0" applyFill="1" applyAlignment="1">
      <alignment horizontal="center"/>
    </xf>
    <xf numFmtId="1" fontId="0" fillId="0" borderId="0" xfId="0" applyNumberFormat="1" applyAlignment="1">
      <alignment horizontal="right" indent="4"/>
    </xf>
    <xf numFmtId="166" fontId="0" fillId="0" borderId="0" xfId="0" applyNumberFormat="1" applyAlignment="1">
      <alignment horizontal="right" indent="3"/>
    </xf>
    <xf numFmtId="0" fontId="0" fillId="2" borderId="1" xfId="0" applyFont="1" applyFill="1" applyBorder="1"/>
    <xf numFmtId="49" fontId="0" fillId="2" borderId="1" xfId="0" applyNumberFormat="1" applyFont="1" applyFill="1" applyBorder="1" applyAlignment="1">
      <alignment horizontal="center" vertical="center"/>
    </xf>
    <xf numFmtId="0" fontId="9" fillId="0" borderId="0" xfId="0" applyFont="1" applyBorder="1" applyAlignment="1">
      <alignment horizontal="center"/>
    </xf>
    <xf numFmtId="0" fontId="9" fillId="0" borderId="0" xfId="0" applyFont="1" applyBorder="1"/>
    <xf numFmtId="0" fontId="9" fillId="0" borderId="4" xfId="0" applyFont="1" applyBorder="1" applyAlignment="1">
      <alignment horizontal="center"/>
    </xf>
    <xf numFmtId="0" fontId="9" fillId="0" borderId="3" xfId="0" applyFont="1" applyBorder="1"/>
    <xf numFmtId="0" fontId="9" fillId="0" borderId="0" xfId="0" applyFont="1" applyAlignment="1">
      <alignment horizontal="center"/>
    </xf>
    <xf numFmtId="0" fontId="9" fillId="0" borderId="0" xfId="0" applyFont="1"/>
    <xf numFmtId="0" fontId="9" fillId="0" borderId="4" xfId="0" applyFont="1" applyBorder="1"/>
    <xf numFmtId="0" fontId="9" fillId="0" borderId="4" xfId="0" applyFont="1" applyFill="1" applyBorder="1" applyAlignment="1">
      <alignment horizontal="center"/>
    </xf>
    <xf numFmtId="0" fontId="9" fillId="0" borderId="3" xfId="0" applyFont="1" applyFill="1" applyBorder="1"/>
    <xf numFmtId="0" fontId="9" fillId="0" borderId="3" xfId="0" applyFont="1" applyBorder="1" applyAlignment="1">
      <alignment horizontal="center"/>
    </xf>
    <xf numFmtId="0" fontId="32" fillId="0" borderId="0" xfId="0" applyFont="1" applyFill="1" applyBorder="1" applyAlignment="1">
      <alignment horizontal="center" wrapText="1"/>
    </xf>
    <xf numFmtId="0" fontId="9" fillId="0" borderId="0" xfId="0" applyFont="1" applyFill="1" applyBorder="1" applyAlignment="1">
      <alignment horizontal="left"/>
    </xf>
    <xf numFmtId="0" fontId="9" fillId="0" borderId="0" xfId="0" quotePrefix="1" applyFont="1" applyFill="1" applyBorder="1" applyAlignment="1">
      <alignment horizontal="left"/>
    </xf>
    <xf numFmtId="0" fontId="9" fillId="0" borderId="0" xfId="0" applyNumberFormat="1" applyFont="1" applyBorder="1" applyAlignment="1">
      <alignment horizontal="center"/>
    </xf>
    <xf numFmtId="0" fontId="16" fillId="0" borderId="0" xfId="0" applyNumberFormat="1" applyFont="1" applyFill="1" applyBorder="1" applyAlignment="1">
      <alignment horizontal="center" vertical="center" wrapText="1"/>
    </xf>
    <xf numFmtId="1" fontId="25" fillId="0" borderId="0" xfId="12" applyNumberFormat="1" applyFont="1" applyFill="1" applyBorder="1" applyAlignment="1">
      <alignment horizontal="center" vertical="top"/>
    </xf>
    <xf numFmtId="167" fontId="25" fillId="0" borderId="0" xfId="12" applyNumberFormat="1" applyFont="1" applyFill="1" applyBorder="1" applyAlignment="1">
      <alignment horizontal="center" vertical="top"/>
    </xf>
    <xf numFmtId="0" fontId="9" fillId="0" borderId="0" xfId="0" applyNumberFormat="1" applyFont="1" applyBorder="1" applyAlignment="1">
      <alignment horizontal="left" vertical="center"/>
    </xf>
    <xf numFmtId="0" fontId="9" fillId="0" borderId="0" xfId="0" applyFont="1" applyFill="1" applyBorder="1" applyAlignment="1">
      <alignment horizontal="center" vertical="center"/>
    </xf>
    <xf numFmtId="0" fontId="16" fillId="6" borderId="0" xfId="0" applyNumberFormat="1" applyFont="1" applyFill="1" applyBorder="1" applyAlignment="1">
      <alignment horizontal="center" vertical="center" wrapText="1"/>
    </xf>
    <xf numFmtId="169" fontId="9" fillId="0" borderId="0" xfId="0" applyNumberFormat="1" applyFont="1" applyFill="1" applyBorder="1" applyAlignment="1">
      <alignment horizontal="center" vertical="center"/>
    </xf>
    <xf numFmtId="0" fontId="19" fillId="0" borderId="0" xfId="0" applyFont="1" applyFill="1" applyBorder="1" applyAlignment="1">
      <alignment horizontal="center"/>
    </xf>
    <xf numFmtId="0" fontId="19" fillId="0" borderId="4" xfId="0" applyFont="1" applyFill="1" applyBorder="1" applyAlignment="1">
      <alignment horizontal="center"/>
    </xf>
    <xf numFmtId="0" fontId="19" fillId="0" borderId="3" xfId="0" applyFont="1" applyFill="1" applyBorder="1" applyAlignment="1">
      <alignment horizontal="center"/>
    </xf>
    <xf numFmtId="0" fontId="19" fillId="0" borderId="0" xfId="0" applyFont="1" applyFill="1" applyAlignment="1">
      <alignment horizontal="center"/>
    </xf>
    <xf numFmtId="0" fontId="0" fillId="0" borderId="0" xfId="0" applyFill="1"/>
    <xf numFmtId="0" fontId="19" fillId="0" borderId="4" xfId="0" applyFont="1" applyFill="1" applyBorder="1" applyAlignment="1">
      <alignment horizontal="center" vertical="center"/>
    </xf>
    <xf numFmtId="0" fontId="9" fillId="0" borderId="4" xfId="0" applyFont="1" applyBorder="1" applyAlignment="1">
      <alignment horizontal="center" vertical="center"/>
    </xf>
    <xf numFmtId="0" fontId="0" fillId="0" borderId="0" xfId="0" applyAlignment="1">
      <alignment horizontal="center" vertical="center"/>
    </xf>
    <xf numFmtId="0" fontId="0" fillId="8" borderId="0" xfId="0" applyFont="1" applyFill="1" applyBorder="1"/>
    <xf numFmtId="0" fontId="0" fillId="0" borderId="0" xfId="0" applyBorder="1"/>
    <xf numFmtId="0" fontId="0" fillId="0" borderId="0" xfId="0" applyFont="1" applyFill="1" applyBorder="1"/>
    <xf numFmtId="0" fontId="0" fillId="5" borderId="0" xfId="0" applyFont="1" applyFill="1" applyBorder="1"/>
    <xf numFmtId="0" fontId="0" fillId="9" borderId="0" xfId="0" applyFont="1" applyFill="1" applyBorder="1"/>
    <xf numFmtId="0" fontId="0" fillId="9" borderId="0" xfId="0" applyFill="1" applyBorder="1"/>
    <xf numFmtId="0" fontId="0" fillId="10" borderId="0" xfId="0" applyFont="1" applyFill="1" applyBorder="1"/>
    <xf numFmtId="0" fontId="0" fillId="10" borderId="0" xfId="0" applyFill="1" applyBorder="1"/>
    <xf numFmtId="0" fontId="0" fillId="11" borderId="0" xfId="0" applyFont="1" applyFill="1" applyBorder="1"/>
    <xf numFmtId="0" fontId="0" fillId="11" borderId="0" xfId="0" applyFill="1" applyBorder="1"/>
    <xf numFmtId="0" fontId="0" fillId="0" borderId="0" xfId="0" applyFill="1" applyBorder="1"/>
    <xf numFmtId="0" fontId="0" fillId="12" borderId="0" xfId="0" applyFont="1" applyFill="1" applyBorder="1"/>
    <xf numFmtId="1" fontId="9" fillId="0" borderId="0" xfId="0" applyNumberFormat="1" applyFont="1" applyFill="1" applyBorder="1" applyAlignment="1">
      <alignment horizontal="center" vertical="center"/>
    </xf>
    <xf numFmtId="166" fontId="9" fillId="0" borderId="0" xfId="0" applyNumberFormat="1" applyFont="1" applyFill="1" applyBorder="1" applyAlignment="1">
      <alignment horizontal="center" vertical="center"/>
    </xf>
    <xf numFmtId="0" fontId="9" fillId="0" borderId="0" xfId="4" quotePrefix="1" applyFont="1" applyFill="1" applyBorder="1" applyAlignment="1">
      <alignment horizontal="center" vertical="center"/>
    </xf>
    <xf numFmtId="0" fontId="9" fillId="0" borderId="0" xfId="6" applyFont="1" applyFill="1" applyBorder="1" applyAlignment="1" applyProtection="1">
      <alignment horizontal="center" vertical="center"/>
      <protection locked="0"/>
    </xf>
    <xf numFmtId="165" fontId="9" fillId="0" borderId="0" xfId="6" applyNumberFormat="1" applyFont="1" applyFill="1" applyBorder="1" applyAlignment="1" applyProtection="1">
      <alignment horizontal="center" vertical="center"/>
      <protection locked="0"/>
    </xf>
    <xf numFmtId="0" fontId="0" fillId="13" borderId="1" xfId="0" applyFill="1" applyBorder="1"/>
    <xf numFmtId="0" fontId="0" fillId="14" borderId="1" xfId="0" applyFill="1" applyBorder="1"/>
    <xf numFmtId="0" fontId="16" fillId="0" borderId="0" xfId="0" applyNumberFormat="1" applyFont="1" applyBorder="1" applyAlignment="1">
      <alignment horizontal="center" vertical="center" wrapText="1"/>
    </xf>
    <xf numFmtId="0" fontId="0" fillId="15" borderId="1" xfId="0" applyFill="1" applyBorder="1"/>
    <xf numFmtId="168" fontId="0" fillId="0" borderId="0" xfId="0" applyNumberFormat="1" applyAlignment="1">
      <alignment horizontal="center"/>
    </xf>
    <xf numFmtId="0" fontId="25" fillId="0" borderId="0" xfId="12" applyFont="1" applyFill="1" applyBorder="1">
      <alignment vertical="top"/>
    </xf>
    <xf numFmtId="0" fontId="25" fillId="0" borderId="0" xfId="12" applyFont="1" applyFill="1" applyBorder="1" applyAlignment="1">
      <alignment horizontal="center" vertical="top"/>
    </xf>
    <xf numFmtId="0" fontId="25" fillId="0" borderId="0" xfId="12" applyNumberFormat="1" applyFont="1" applyFill="1" applyBorder="1" applyAlignment="1">
      <alignment horizontal="center" vertical="top"/>
    </xf>
    <xf numFmtId="2" fontId="9" fillId="0" borderId="0" xfId="0" applyNumberFormat="1" applyFont="1" applyFill="1" applyBorder="1" applyAlignment="1">
      <alignment horizontal="center"/>
    </xf>
    <xf numFmtId="168" fontId="25" fillId="0" borderId="0" xfId="0" applyNumberFormat="1" applyFont="1" applyFill="1" applyBorder="1" applyAlignment="1">
      <alignment horizontal="center" vertical="top"/>
    </xf>
    <xf numFmtId="168" fontId="9" fillId="0" borderId="0" xfId="0" applyNumberFormat="1" applyFont="1" applyFill="1" applyBorder="1" applyAlignment="1">
      <alignment horizontal="center"/>
    </xf>
    <xf numFmtId="168" fontId="25" fillId="0" borderId="0" xfId="12" applyNumberFormat="1" applyFont="1" applyFill="1" applyBorder="1" applyAlignment="1">
      <alignment horizontal="center" vertical="top"/>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vertical="center"/>
    </xf>
    <xf numFmtId="0" fontId="0" fillId="0" borderId="0" xfId="0" applyAlignment="1">
      <alignment wrapText="1"/>
    </xf>
    <xf numFmtId="0" fontId="5" fillId="4" borderId="0" xfId="0" applyNumberFormat="1" applyFont="1" applyFill="1" applyBorder="1" applyAlignment="1">
      <alignment horizontal="center" vertical="center" wrapText="1"/>
    </xf>
    <xf numFmtId="0" fontId="33" fillId="0" borderId="0" xfId="14"/>
    <xf numFmtId="0" fontId="11" fillId="4" borderId="0" xfId="0" applyNumberFormat="1" applyFont="1" applyFill="1" applyBorder="1" applyAlignment="1">
      <alignment horizontal="center" vertical="center" wrapText="1"/>
    </xf>
    <xf numFmtId="1" fontId="25" fillId="0" borderId="0" xfId="0" applyNumberFormat="1" applyFont="1" applyBorder="1" applyAlignment="1">
      <alignment horizontal="center" vertical="top"/>
    </xf>
    <xf numFmtId="0" fontId="25" fillId="0" borderId="0" xfId="0" applyFont="1" applyBorder="1" applyAlignment="1">
      <alignment horizontal="center" vertical="top"/>
    </xf>
    <xf numFmtId="0" fontId="25" fillId="0" borderId="0" xfId="0" applyFont="1" applyBorder="1" applyAlignment="1">
      <alignment vertical="top"/>
    </xf>
    <xf numFmtId="0" fontId="25" fillId="0" borderId="0" xfId="11" applyFont="1" applyBorder="1">
      <alignment vertical="top"/>
    </xf>
    <xf numFmtId="2" fontId="32" fillId="3" borderId="0" xfId="0" applyNumberFormat="1" applyFont="1" applyFill="1" applyBorder="1" applyAlignment="1">
      <alignment horizontal="center" vertical="center" wrapText="1"/>
    </xf>
    <xf numFmtId="0" fontId="25" fillId="0" borderId="0" xfId="0" applyFont="1" applyFill="1" applyBorder="1" applyAlignment="1">
      <alignment vertical="top"/>
    </xf>
    <xf numFmtId="168" fontId="25" fillId="0" borderId="0" xfId="0" applyNumberFormat="1" applyFont="1" applyFill="1" applyBorder="1" applyAlignment="1">
      <alignment horizontal="right" vertical="top" indent="1"/>
    </xf>
    <xf numFmtId="2" fontId="25" fillId="0" borderId="0" xfId="0" applyNumberFormat="1" applyFont="1" applyFill="1" applyBorder="1" applyAlignment="1">
      <alignment horizontal="center" vertical="top"/>
    </xf>
    <xf numFmtId="168" fontId="9" fillId="0" borderId="0" xfId="0" applyNumberFormat="1" applyFont="1" applyFill="1" applyBorder="1" applyAlignment="1">
      <alignment horizontal="right" indent="1"/>
    </xf>
    <xf numFmtId="167" fontId="9" fillId="0" borderId="0" xfId="0" applyNumberFormat="1" applyFont="1" applyFill="1" applyBorder="1"/>
    <xf numFmtId="0" fontId="16" fillId="17" borderId="0" xfId="0" applyNumberFormat="1" applyFont="1" applyFill="1" applyBorder="1" applyAlignment="1">
      <alignment horizontal="center" vertical="center" wrapText="1"/>
    </xf>
    <xf numFmtId="0" fontId="16" fillId="17" borderId="0" xfId="0" applyFont="1" applyFill="1" applyBorder="1" applyAlignment="1">
      <alignment horizontal="center" vertical="center" wrapText="1"/>
    </xf>
    <xf numFmtId="167" fontId="16" fillId="17" borderId="0" xfId="0" applyNumberFormat="1" applyFont="1" applyFill="1" applyBorder="1" applyAlignment="1">
      <alignment horizontal="center" vertical="center" wrapText="1"/>
    </xf>
    <xf numFmtId="0" fontId="32" fillId="18" borderId="0" xfId="0" applyNumberFormat="1" applyFont="1" applyFill="1" applyBorder="1" applyAlignment="1">
      <alignment horizontal="center" vertical="center" wrapText="1"/>
    </xf>
    <xf numFmtId="0" fontId="16" fillId="18" borderId="0" xfId="0" applyNumberFormat="1" applyFont="1" applyFill="1" applyBorder="1" applyAlignment="1">
      <alignment horizontal="center" vertical="center" wrapText="1"/>
    </xf>
    <xf numFmtId="0" fontId="16" fillId="13" borderId="0" xfId="0" applyNumberFormat="1" applyFont="1" applyFill="1" applyBorder="1" applyAlignment="1">
      <alignment horizontal="center" vertical="center" wrapText="1"/>
    </xf>
    <xf numFmtId="2" fontId="16" fillId="13" borderId="0" xfId="0" applyNumberFormat="1" applyFont="1" applyFill="1" applyBorder="1" applyAlignment="1">
      <alignment horizontal="center" vertical="center" wrapText="1"/>
    </xf>
    <xf numFmtId="1" fontId="25" fillId="0" borderId="0" xfId="0" applyNumberFormat="1" applyFont="1" applyFill="1" applyBorder="1" applyAlignment="1">
      <alignment horizontal="center" vertical="top"/>
    </xf>
    <xf numFmtId="49" fontId="34" fillId="7" borderId="0" xfId="0" applyNumberFormat="1" applyFont="1" applyFill="1" applyBorder="1" applyAlignment="1">
      <alignment horizontal="center" vertical="center" wrapText="1"/>
    </xf>
    <xf numFmtId="0" fontId="16" fillId="19" borderId="0" xfId="0" applyNumberFormat="1" applyFont="1" applyFill="1" applyBorder="1" applyAlignment="1">
      <alignment horizontal="left" vertical="top" wrapText="1"/>
    </xf>
    <xf numFmtId="0" fontId="16" fillId="19" borderId="0" xfId="0" applyNumberFormat="1" applyFont="1" applyFill="1" applyBorder="1" applyAlignment="1">
      <alignment vertical="top" wrapText="1"/>
    </xf>
    <xf numFmtId="2" fontId="16" fillId="13" borderId="0" xfId="0" applyNumberFormat="1" applyFont="1" applyFill="1" applyBorder="1" applyAlignment="1">
      <alignment vertical="top" wrapText="1"/>
    </xf>
    <xf numFmtId="2" fontId="16" fillId="13" borderId="0" xfId="0" applyNumberFormat="1" applyFont="1" applyFill="1" applyBorder="1" applyAlignment="1">
      <alignment horizontal="left" vertical="top" wrapText="1"/>
    </xf>
    <xf numFmtId="0" fontId="16" fillId="17" borderId="0" xfId="0" applyNumberFormat="1" applyFont="1" applyFill="1" applyBorder="1" applyAlignment="1">
      <alignment horizontal="left" vertical="top" wrapText="1"/>
    </xf>
    <xf numFmtId="49" fontId="16" fillId="16" borderId="0" xfId="0" applyNumberFormat="1" applyFont="1" applyFill="1" applyBorder="1" applyAlignment="1">
      <alignment vertical="top" wrapText="1"/>
    </xf>
    <xf numFmtId="49" fontId="16" fillId="16" borderId="0" xfId="0" applyNumberFormat="1" applyFont="1" applyFill="1" applyBorder="1" applyAlignment="1">
      <alignment horizontal="center" vertical="center" wrapText="1"/>
    </xf>
    <xf numFmtId="49" fontId="16" fillId="17" borderId="0" xfId="0" applyNumberFormat="1" applyFont="1" applyFill="1" applyBorder="1" applyAlignment="1">
      <alignment horizontal="center" vertical="center" wrapText="1"/>
    </xf>
    <xf numFmtId="0" fontId="0" fillId="0" borderId="0" xfId="0" applyFill="1" applyAlignment="1">
      <alignment vertical="top"/>
    </xf>
    <xf numFmtId="167" fontId="9" fillId="0" borderId="0" xfId="0" applyNumberFormat="1" applyFont="1" applyFill="1" applyBorder="1" applyAlignment="1">
      <alignment horizontal="center"/>
    </xf>
    <xf numFmtId="0" fontId="12" fillId="0" borderId="0" xfId="6" applyFont="1" applyFill="1" applyBorder="1" applyAlignment="1" applyProtection="1">
      <alignment horizontal="left"/>
      <protection locked="0"/>
    </xf>
    <xf numFmtId="0" fontId="12" fillId="0" borderId="0" xfId="6" applyFont="1" applyFill="1" applyBorder="1" applyAlignment="1">
      <alignment horizontal="center"/>
    </xf>
    <xf numFmtId="0" fontId="12" fillId="0" borderId="0" xfId="0" applyFont="1" applyFill="1" applyBorder="1" applyAlignment="1">
      <alignment horizontal="center"/>
    </xf>
    <xf numFmtId="0" fontId="15" fillId="0" borderId="0" xfId="4" quotePrefix="1" applyFont="1" applyFill="1" applyBorder="1" applyAlignment="1">
      <alignment horizontal="center"/>
    </xf>
    <xf numFmtId="164" fontId="12" fillId="0" borderId="0" xfId="6" applyNumberFormat="1" applyFont="1" applyFill="1" applyBorder="1" applyAlignment="1" applyProtection="1">
      <alignment horizontal="center"/>
      <protection locked="0"/>
    </xf>
    <xf numFmtId="0" fontId="12" fillId="0" borderId="0" xfId="6" applyFont="1" applyFill="1" applyBorder="1" applyAlignment="1" applyProtection="1">
      <alignment horizontal="center"/>
      <protection locked="0"/>
    </xf>
    <xf numFmtId="0" fontId="12" fillId="0" borderId="0" xfId="6" applyFont="1" applyFill="1" applyBorder="1" applyProtection="1">
      <protection locked="0"/>
    </xf>
    <xf numFmtId="165" fontId="12" fillId="0" borderId="0" xfId="6" applyNumberFormat="1" applyFont="1" applyFill="1" applyBorder="1" applyAlignment="1" applyProtection="1">
      <alignment horizontal="center"/>
      <protection locked="0"/>
    </xf>
    <xf numFmtId="165" fontId="12" fillId="0" borderId="0" xfId="6" applyNumberFormat="1" applyFont="1" applyFill="1" applyBorder="1" applyProtection="1">
      <protection locked="0"/>
    </xf>
    <xf numFmtId="0" fontId="0" fillId="20" borderId="0" xfId="0" applyFill="1" applyAlignment="1">
      <alignment horizontal="center"/>
    </xf>
    <xf numFmtId="0" fontId="0" fillId="20" borderId="0" xfId="0" applyFill="1"/>
    <xf numFmtId="0" fontId="19" fillId="4" borderId="0" xfId="0" applyFont="1" applyFill="1" applyAlignment="1">
      <alignment horizontal="center" wrapText="1"/>
    </xf>
    <xf numFmtId="0" fontId="35" fillId="0" borderId="0" xfId="0" applyFont="1" applyAlignment="1">
      <alignment wrapText="1"/>
    </xf>
    <xf numFmtId="0" fontId="0" fillId="0" borderId="0" xfId="0" applyAlignment="1"/>
    <xf numFmtId="0" fontId="0" fillId="17" borderId="0" xfId="0" applyFont="1" applyFill="1" applyBorder="1"/>
    <xf numFmtId="0" fontId="0" fillId="17" borderId="0" xfId="0" applyFill="1" applyBorder="1"/>
    <xf numFmtId="0" fontId="0" fillId="21" borderId="0" xfId="0" applyFill="1" applyBorder="1"/>
    <xf numFmtId="0" fontId="0" fillId="21" borderId="0" xfId="0" applyFont="1" applyFill="1" applyBorder="1"/>
    <xf numFmtId="0" fontId="19" fillId="0" borderId="1" xfId="0" applyFont="1" applyBorder="1"/>
    <xf numFmtId="0" fontId="0" fillId="0" borderId="0" xfId="0"/>
    <xf numFmtId="0" fontId="0" fillId="0" borderId="0" xfId="0" applyAlignment="1"/>
    <xf numFmtId="0" fontId="19" fillId="4" borderId="4" xfId="0" applyFont="1" applyFill="1" applyBorder="1" applyAlignment="1">
      <alignment horizontal="center"/>
    </xf>
    <xf numFmtId="0" fontId="0" fillId="2" borderId="1" xfId="0" applyFont="1" applyFill="1" applyBorder="1" applyAlignment="1">
      <alignment horizontal="left"/>
    </xf>
    <xf numFmtId="49" fontId="3" fillId="2" borderId="1" xfId="0" applyNumberFormat="1" applyFont="1" applyFill="1" applyBorder="1" applyAlignment="1">
      <alignment horizontal="left" vertical="center"/>
    </xf>
    <xf numFmtId="0" fontId="3" fillId="2" borderId="1" xfId="0" quotePrefix="1" applyFont="1" applyFill="1" applyBorder="1" applyAlignment="1">
      <alignment horizontal="center" vertical="center"/>
    </xf>
    <xf numFmtId="0" fontId="19" fillId="4" borderId="3" xfId="0" applyFont="1" applyFill="1" applyBorder="1" applyAlignment="1">
      <alignment horizontal="left"/>
    </xf>
    <xf numFmtId="0" fontId="0" fillId="0" borderId="4" xfId="0" applyBorder="1"/>
    <xf numFmtId="0" fontId="0" fillId="0" borderId="3" xfId="0" applyBorder="1"/>
    <xf numFmtId="0" fontId="5" fillId="6" borderId="0" xfId="0" applyNumberFormat="1" applyFont="1" applyFill="1" applyBorder="1" applyAlignment="1">
      <alignment horizontal="center" vertical="center" wrapText="1"/>
    </xf>
    <xf numFmtId="0" fontId="25" fillId="0" borderId="0" xfId="0" quotePrefix="1" applyFont="1" applyBorder="1" applyAlignment="1">
      <alignment horizontal="center" vertical="top"/>
    </xf>
    <xf numFmtId="0" fontId="9" fillId="0" borderId="0" xfId="0" quotePrefix="1" applyNumberFormat="1" applyFont="1" applyFill="1" applyBorder="1" applyAlignment="1">
      <alignment horizontal="center" vertical="center"/>
    </xf>
    <xf numFmtId="0" fontId="9" fillId="6" borderId="4" xfId="0" applyFont="1" applyFill="1" applyBorder="1" applyAlignment="1">
      <alignment horizontal="center"/>
    </xf>
    <xf numFmtId="0" fontId="9" fillId="6" borderId="3" xfId="0" applyFont="1" applyFill="1" applyBorder="1"/>
    <xf numFmtId="0" fontId="9" fillId="6" borderId="0" xfId="0" applyFont="1" applyFill="1"/>
    <xf numFmtId="0" fontId="19" fillId="2" borderId="1" xfId="0" applyFont="1" applyFill="1" applyBorder="1" applyAlignment="1">
      <alignment horizontal="center" vertical="center"/>
    </xf>
    <xf numFmtId="0" fontId="19" fillId="2" borderId="1" xfId="0" applyFont="1" applyFill="1" applyBorder="1" applyAlignment="1">
      <alignment horizontal="center" vertical="center" wrapText="1"/>
    </xf>
    <xf numFmtId="0" fontId="0" fillId="2" borderId="1" xfId="0" applyFont="1" applyFill="1" applyBorder="1" applyAlignment="1">
      <alignment horizontal="left" vertical="center"/>
    </xf>
    <xf numFmtId="0" fontId="0" fillId="2" borderId="1" xfId="0" applyFont="1" applyFill="1" applyBorder="1" applyAlignment="1">
      <alignment horizontal="center" vertical="center"/>
    </xf>
    <xf numFmtId="0" fontId="0" fillId="2" borderId="1" xfId="0" quotePrefix="1" applyNumberFormat="1" applyFont="1" applyFill="1" applyBorder="1" applyAlignment="1">
      <alignment horizontal="center" vertical="center"/>
    </xf>
    <xf numFmtId="0" fontId="0" fillId="3" borderId="1" xfId="0" applyFont="1" applyFill="1" applyBorder="1" applyAlignment="1">
      <alignment horizontal="left" vertical="center" indent="1"/>
    </xf>
    <xf numFmtId="0" fontId="0" fillId="2" borderId="1" xfId="0" applyFont="1" applyFill="1" applyBorder="1" applyAlignment="1">
      <alignment horizontal="left" indent="1"/>
    </xf>
    <xf numFmtId="0" fontId="0" fillId="0" borderId="1" xfId="0" applyFont="1" applyBorder="1"/>
    <xf numFmtId="0" fontId="0" fillId="3" borderId="1" xfId="0" applyFont="1" applyFill="1" applyBorder="1"/>
    <xf numFmtId="1" fontId="0" fillId="3" borderId="1" xfId="0" applyNumberFormat="1" applyFont="1" applyFill="1" applyBorder="1" applyAlignment="1">
      <alignment horizontal="left" vertical="center"/>
    </xf>
    <xf numFmtId="0" fontId="0" fillId="3" borderId="1" xfId="0" applyFont="1" applyFill="1" applyBorder="1" applyAlignment="1">
      <alignment horizontal="left" vertical="center"/>
    </xf>
    <xf numFmtId="0" fontId="19" fillId="3" borderId="1" xfId="0" applyFont="1" applyFill="1" applyBorder="1" applyAlignment="1">
      <alignment horizontal="center" vertical="center" wrapText="1"/>
    </xf>
    <xf numFmtId="0" fontId="19" fillId="3" borderId="1" xfId="0" applyFont="1" applyFill="1" applyBorder="1" applyAlignment="1">
      <alignment horizontal="center" vertical="center"/>
    </xf>
    <xf numFmtId="0" fontId="0" fillId="6" borderId="0" xfId="0" applyNumberFormat="1" applyFill="1" applyAlignment="1">
      <alignment horizontal="center"/>
    </xf>
    <xf numFmtId="0" fontId="9" fillId="6" borderId="0" xfId="0" applyFont="1" applyFill="1" applyAlignment="1">
      <alignment horizontal="center"/>
    </xf>
    <xf numFmtId="0" fontId="16" fillId="0" borderId="4" xfId="0" applyFont="1" applyFill="1" applyBorder="1" applyAlignment="1">
      <alignment horizontal="center"/>
    </xf>
    <xf numFmtId="0" fontId="16" fillId="0" borderId="3" xfId="0" applyFont="1" applyFill="1" applyBorder="1" applyAlignment="1">
      <alignment horizontal="center"/>
    </xf>
    <xf numFmtId="0" fontId="9" fillId="0" borderId="0" xfId="0" applyNumberFormat="1" applyFont="1" applyBorder="1" applyAlignment="1">
      <alignment horizontal="right" vertical="center"/>
    </xf>
    <xf numFmtId="0" fontId="10" fillId="6" borderId="0" xfId="0" applyNumberFormat="1" applyFont="1" applyFill="1" applyBorder="1" applyAlignment="1">
      <alignment horizontal="center" vertical="center" wrapText="1"/>
    </xf>
    <xf numFmtId="0" fontId="10" fillId="13" borderId="0" xfId="0" applyNumberFormat="1" applyFont="1" applyFill="1" applyBorder="1" applyAlignment="1">
      <alignment horizontal="center" vertical="center" wrapText="1"/>
    </xf>
    <xf numFmtId="0" fontId="10" fillId="18" borderId="0" xfId="0" applyNumberFormat="1" applyFont="1" applyFill="1" applyBorder="1" applyAlignment="1">
      <alignment horizontal="center" vertical="center" wrapText="1"/>
    </xf>
    <xf numFmtId="0" fontId="37" fillId="18" borderId="0" xfId="0" applyNumberFormat="1" applyFont="1" applyFill="1" applyBorder="1" applyAlignment="1">
      <alignment horizontal="center" vertical="center" wrapText="1"/>
    </xf>
    <xf numFmtId="49" fontId="10" fillId="17" borderId="0" xfId="0" applyNumberFormat="1" applyFont="1" applyFill="1" applyBorder="1" applyAlignment="1">
      <alignment horizontal="center" vertical="center" wrapText="1"/>
    </xf>
    <xf numFmtId="0" fontId="10" fillId="17" borderId="0" xfId="0" applyNumberFormat="1" applyFont="1" applyFill="1" applyBorder="1" applyAlignment="1">
      <alignment horizontal="center" vertical="center" wrapText="1"/>
    </xf>
    <xf numFmtId="0" fontId="38" fillId="0" borderId="0" xfId="0" applyNumberFormat="1" applyFont="1" applyFill="1" applyBorder="1" applyAlignment="1">
      <alignment horizontal="left" vertical="center"/>
    </xf>
    <xf numFmtId="0" fontId="38" fillId="0" borderId="0" xfId="0" applyNumberFormat="1" applyFont="1" applyFill="1" applyBorder="1" applyAlignment="1">
      <alignment horizontal="right" vertical="center"/>
    </xf>
    <xf numFmtId="0" fontId="38" fillId="0" borderId="0" xfId="0" applyNumberFormat="1" applyFont="1" applyFill="1" applyBorder="1" applyAlignment="1">
      <alignment horizontal="center" vertical="center"/>
    </xf>
    <xf numFmtId="0" fontId="39" fillId="0" borderId="0" xfId="12" applyFont="1" applyFill="1" applyBorder="1">
      <alignment vertical="top"/>
    </xf>
    <xf numFmtId="0" fontId="39" fillId="0" borderId="0" xfId="12" applyFont="1" applyFill="1" applyBorder="1" applyAlignment="1">
      <alignment horizontal="center" vertical="top"/>
    </xf>
    <xf numFmtId="166" fontId="39" fillId="0" borderId="0" xfId="12" applyNumberFormat="1" applyFont="1" applyFill="1" applyBorder="1" applyAlignment="1">
      <alignment horizontal="center" vertical="top"/>
    </xf>
    <xf numFmtId="167" fontId="39" fillId="0" borderId="0" xfId="12" applyNumberFormat="1" applyFont="1" applyFill="1" applyBorder="1" applyAlignment="1">
      <alignment horizontal="center" vertical="top"/>
    </xf>
    <xf numFmtId="3" fontId="38" fillId="0" borderId="0" xfId="0" applyNumberFormat="1" applyFont="1" applyFill="1" applyBorder="1" applyAlignment="1">
      <alignment horizontal="center" vertical="center"/>
    </xf>
    <xf numFmtId="167" fontId="39" fillId="0" borderId="0" xfId="13" applyNumberFormat="1" applyFont="1" applyFill="1" applyBorder="1" applyAlignment="1">
      <alignment horizontal="center" vertical="top"/>
    </xf>
    <xf numFmtId="167" fontId="38" fillId="0" borderId="0" xfId="0" applyNumberFormat="1" applyFont="1" applyFill="1" applyBorder="1" applyAlignment="1">
      <alignment horizontal="center" vertical="center"/>
    </xf>
    <xf numFmtId="0" fontId="39" fillId="0" borderId="0" xfId="12" applyNumberFormat="1" applyFont="1" applyFill="1" applyBorder="1">
      <alignment vertical="top"/>
    </xf>
    <xf numFmtId="2" fontId="39" fillId="0" borderId="0" xfId="12" applyNumberFormat="1" applyFont="1" applyFill="1" applyBorder="1" applyAlignment="1">
      <alignment horizontal="center" vertical="top"/>
    </xf>
    <xf numFmtId="168" fontId="39" fillId="0" borderId="0" xfId="12" applyNumberFormat="1" applyFont="1" applyFill="1" applyBorder="1" applyAlignment="1">
      <alignment horizontal="center" vertical="top"/>
    </xf>
    <xf numFmtId="1" fontId="39" fillId="0" borderId="0" xfId="0" applyNumberFormat="1" applyFont="1" applyFill="1" applyBorder="1" applyAlignment="1">
      <alignment horizontal="center" vertical="top"/>
    </xf>
    <xf numFmtId="2" fontId="39" fillId="0" borderId="0" xfId="0" applyNumberFormat="1" applyFont="1" applyFill="1" applyBorder="1" applyAlignment="1">
      <alignment horizontal="center" vertical="top"/>
    </xf>
    <xf numFmtId="2" fontId="39" fillId="0" borderId="0" xfId="13" applyNumberFormat="1" applyFont="1" applyFill="1" applyBorder="1" applyAlignment="1">
      <alignment horizontal="center" vertical="top"/>
    </xf>
    <xf numFmtId="1" fontId="39" fillId="0" borderId="0" xfId="12" applyNumberFormat="1" applyFont="1" applyFill="1" applyBorder="1" applyAlignment="1">
      <alignment horizontal="center" vertical="top"/>
    </xf>
    <xf numFmtId="3" fontId="39" fillId="0" borderId="0" xfId="12" applyNumberFormat="1" applyFont="1" applyFill="1" applyBorder="1" applyAlignment="1">
      <alignment horizontal="center" vertical="top"/>
    </xf>
    <xf numFmtId="2" fontId="38" fillId="0" borderId="0" xfId="6" applyNumberFormat="1" applyFont="1" applyFill="1" applyBorder="1" applyAlignment="1" applyProtection="1">
      <alignment horizontal="center"/>
      <protection locked="0"/>
    </xf>
    <xf numFmtId="0" fontId="38" fillId="0" borderId="0" xfId="0" applyNumberFormat="1" applyFont="1" applyBorder="1" applyAlignment="1">
      <alignment horizontal="left" vertical="center"/>
    </xf>
    <xf numFmtId="167" fontId="38" fillId="0" borderId="0" xfId="0" applyNumberFormat="1" applyFont="1" applyBorder="1" applyAlignment="1">
      <alignment horizontal="center" vertical="center"/>
    </xf>
    <xf numFmtId="0" fontId="38" fillId="0" borderId="0" xfId="0" applyNumberFormat="1" applyFont="1" applyBorder="1" applyAlignment="1">
      <alignment horizontal="center" vertical="center"/>
    </xf>
    <xf numFmtId="0" fontId="38" fillId="0" borderId="0" xfId="3" applyNumberFormat="1" applyFont="1" applyFill="1" applyBorder="1" applyAlignment="1">
      <alignment horizontal="center" vertical="center"/>
    </xf>
    <xf numFmtId="0" fontId="38" fillId="0" borderId="0" xfId="0" applyFont="1" applyFill="1" applyBorder="1" applyAlignment="1">
      <alignment horizontal="center" vertical="center"/>
    </xf>
    <xf numFmtId="0" fontId="38" fillId="0" borderId="0" xfId="3" applyNumberFormat="1" applyFont="1" applyFill="1" applyBorder="1" applyAlignment="1">
      <alignment horizontal="left" vertical="center"/>
    </xf>
    <xf numFmtId="166" fontId="38" fillId="0" borderId="0" xfId="0" applyNumberFormat="1" applyFont="1" applyBorder="1" applyAlignment="1">
      <alignment horizontal="center" vertical="center"/>
    </xf>
    <xf numFmtId="0" fontId="10" fillId="0" borderId="0" xfId="0" applyNumberFormat="1" applyFont="1" applyFill="1" applyBorder="1" applyAlignment="1">
      <alignment horizontal="center" vertical="center" wrapText="1"/>
    </xf>
    <xf numFmtId="49" fontId="10" fillId="16" borderId="0" xfId="0" applyNumberFormat="1" applyFont="1" applyFill="1" applyBorder="1" applyAlignment="1">
      <alignment horizontal="center" vertical="center" wrapText="1"/>
    </xf>
    <xf numFmtId="169" fontId="37" fillId="17" borderId="0" xfId="0" applyNumberFormat="1" applyFont="1" applyFill="1" applyBorder="1" applyAlignment="1">
      <alignment horizontal="center" vertical="center" wrapText="1"/>
    </xf>
    <xf numFmtId="169" fontId="10" fillId="17" borderId="0" xfId="0" applyNumberFormat="1" applyFont="1" applyFill="1" applyBorder="1" applyAlignment="1">
      <alignment horizontal="center" vertical="center" wrapText="1"/>
    </xf>
    <xf numFmtId="167" fontId="10" fillId="17" borderId="0" xfId="0" applyNumberFormat="1" applyFont="1" applyFill="1" applyBorder="1" applyAlignment="1">
      <alignment horizontal="center" vertical="center" wrapText="1"/>
    </xf>
    <xf numFmtId="2" fontId="37" fillId="17" borderId="0" xfId="0" applyNumberFormat="1" applyFont="1" applyFill="1" applyBorder="1" applyAlignment="1">
      <alignment horizontal="center" vertical="center" wrapText="1"/>
    </xf>
    <xf numFmtId="0" fontId="37" fillId="17" borderId="0" xfId="0" applyNumberFormat="1" applyFont="1" applyFill="1" applyBorder="1" applyAlignment="1">
      <alignment horizontal="center" vertical="center" wrapText="1"/>
    </xf>
    <xf numFmtId="168" fontId="39" fillId="0" borderId="0" xfId="0" applyNumberFormat="1" applyFont="1" applyFill="1" applyBorder="1" applyAlignment="1">
      <alignment horizontal="center" vertical="top"/>
    </xf>
    <xf numFmtId="0" fontId="39" fillId="0" borderId="0" xfId="12" applyNumberFormat="1" applyFont="1" applyFill="1" applyBorder="1" applyAlignment="1">
      <alignment horizontal="center" vertical="top"/>
    </xf>
    <xf numFmtId="167" fontId="38" fillId="0" borderId="0" xfId="0" applyNumberFormat="1" applyFont="1" applyFill="1" applyBorder="1" applyAlignment="1">
      <alignment horizontal="center"/>
    </xf>
    <xf numFmtId="2" fontId="38" fillId="0" borderId="0" xfId="0" applyNumberFormat="1" applyFont="1" applyFill="1" applyBorder="1" applyAlignment="1">
      <alignment horizontal="center"/>
    </xf>
    <xf numFmtId="0" fontId="39" fillId="0" borderId="0" xfId="0" applyNumberFormat="1" applyFont="1" applyFill="1" applyBorder="1" applyAlignment="1">
      <alignment horizontal="center" vertical="center"/>
    </xf>
    <xf numFmtId="168" fontId="38" fillId="0" borderId="0" xfId="0" applyNumberFormat="1" applyFont="1" applyFill="1" applyBorder="1" applyAlignment="1">
      <alignment horizontal="center"/>
    </xf>
    <xf numFmtId="169" fontId="38" fillId="0" borderId="0" xfId="0" applyNumberFormat="1" applyFont="1" applyFill="1" applyBorder="1" applyAlignment="1">
      <alignment horizontal="center" vertical="center"/>
    </xf>
    <xf numFmtId="168" fontId="38" fillId="0" borderId="0" xfId="0" applyNumberFormat="1" applyFont="1" applyFill="1" applyBorder="1" applyAlignment="1">
      <alignment horizontal="center" vertical="center"/>
    </xf>
    <xf numFmtId="0" fontId="38" fillId="0" borderId="0" xfId="0" applyNumberFormat="1" applyFont="1" applyFill="1" applyBorder="1" applyAlignment="1">
      <alignment horizontal="center" vertical="center" wrapText="1"/>
    </xf>
    <xf numFmtId="166" fontId="38" fillId="0" borderId="0" xfId="3" applyNumberFormat="1" applyFont="1" applyFill="1" applyBorder="1" applyAlignment="1">
      <alignment horizontal="center" vertical="center"/>
    </xf>
    <xf numFmtId="0" fontId="38" fillId="0" borderId="0" xfId="3" applyNumberFormat="1" applyFont="1" applyFill="1" applyBorder="1" applyAlignment="1">
      <alignment horizontal="center" vertical="center" wrapText="1"/>
    </xf>
    <xf numFmtId="0" fontId="38" fillId="0" borderId="0" xfId="3" applyFont="1" applyFill="1" applyBorder="1"/>
    <xf numFmtId="167" fontId="38" fillId="0" borderId="0" xfId="3" applyNumberFormat="1" applyFont="1" applyFill="1" applyBorder="1" applyAlignment="1">
      <alignment horizontal="center" vertical="center"/>
    </xf>
    <xf numFmtId="168" fontId="38" fillId="0" borderId="0" xfId="3" applyNumberFormat="1" applyFont="1" applyFill="1" applyBorder="1" applyAlignment="1">
      <alignment horizontal="right" vertical="center" indent="2"/>
    </xf>
    <xf numFmtId="0" fontId="39" fillId="0" borderId="0" xfId="3" applyNumberFormat="1" applyFont="1" applyFill="1" applyBorder="1" applyAlignment="1">
      <alignment horizontal="center" vertical="center"/>
    </xf>
    <xf numFmtId="0" fontId="38" fillId="0" borderId="0" xfId="3" applyFont="1" applyFill="1" applyBorder="1" applyAlignment="1">
      <alignment horizontal="center" vertical="center"/>
    </xf>
    <xf numFmtId="169" fontId="38" fillId="0" borderId="0" xfId="3" applyNumberFormat="1" applyFont="1" applyFill="1" applyBorder="1" applyAlignment="1">
      <alignment horizontal="center" vertical="center"/>
    </xf>
    <xf numFmtId="2" fontId="38" fillId="0" borderId="0" xfId="3" applyNumberFormat="1" applyFont="1" applyFill="1" applyBorder="1" applyAlignment="1">
      <alignment horizontal="center" vertical="center"/>
    </xf>
    <xf numFmtId="167" fontId="39" fillId="0" borderId="0" xfId="0" applyNumberFormat="1" applyFont="1" applyFill="1" applyBorder="1" applyAlignment="1">
      <alignment horizontal="center" vertical="top"/>
    </xf>
    <xf numFmtId="1" fontId="38" fillId="0" borderId="0" xfId="3" applyNumberFormat="1" applyFont="1" applyFill="1" applyBorder="1" applyAlignment="1">
      <alignment horizontal="center" vertical="center"/>
    </xf>
    <xf numFmtId="0" fontId="0" fillId="6" borderId="0" xfId="0" applyFill="1" applyAlignment="1">
      <alignment horizontal="center"/>
    </xf>
    <xf numFmtId="0" fontId="39" fillId="0" borderId="0" xfId="12" applyNumberFormat="1" applyFont="1" applyFill="1" applyBorder="1" applyAlignment="1">
      <alignment horizontal="center" vertical="center"/>
    </xf>
    <xf numFmtId="0" fontId="38" fillId="0" borderId="0" xfId="7" applyFont="1" applyFill="1" applyBorder="1" applyAlignment="1" applyProtection="1">
      <alignment horizontal="center" vertical="center"/>
      <protection locked="0"/>
    </xf>
    <xf numFmtId="0" fontId="39" fillId="0" borderId="0" xfId="12" applyFont="1" applyFill="1" applyBorder="1" applyAlignment="1">
      <alignment horizontal="center" vertical="center"/>
    </xf>
    <xf numFmtId="168" fontId="38" fillId="0" borderId="0" xfId="3" applyNumberFormat="1" applyFont="1" applyFill="1" applyBorder="1" applyAlignment="1">
      <alignment horizontal="center" vertical="center"/>
    </xf>
    <xf numFmtId="0" fontId="37" fillId="22" borderId="0" xfId="0" applyNumberFormat="1" applyFont="1" applyFill="1" applyBorder="1" applyAlignment="1">
      <alignment horizontal="center" vertical="center" wrapText="1"/>
    </xf>
    <xf numFmtId="0" fontId="9" fillId="0" borderId="0" xfId="0" applyFont="1" applyFill="1" applyBorder="1" applyAlignment="1">
      <alignment horizontal="center"/>
    </xf>
    <xf numFmtId="168" fontId="25" fillId="22" borderId="0" xfId="0" applyNumberFormat="1" applyFont="1" applyFill="1" applyBorder="1" applyAlignment="1">
      <alignment horizontal="right" vertical="top" indent="1"/>
    </xf>
    <xf numFmtId="0" fontId="19" fillId="22" borderId="0" xfId="0" applyFont="1" applyFill="1"/>
    <xf numFmtId="0" fontId="19" fillId="22" borderId="0" xfId="0" applyFont="1" applyFill="1" applyAlignment="1">
      <alignment horizontal="center" vertical="center"/>
    </xf>
    <xf numFmtId="0" fontId="19" fillId="0" borderId="0" xfId="0" applyFont="1" applyAlignment="1">
      <alignment horizontal="center" vertical="center"/>
    </xf>
    <xf numFmtId="0" fontId="9" fillId="0" borderId="0" xfId="0" applyFont="1" applyFill="1"/>
    <xf numFmtId="0" fontId="9" fillId="0" borderId="0" xfId="0" applyFont="1" applyFill="1" applyAlignment="1">
      <alignment horizontal="center"/>
    </xf>
    <xf numFmtId="0" fontId="40" fillId="0" borderId="3" xfId="0" applyFont="1" applyFill="1" applyBorder="1"/>
    <xf numFmtId="0" fontId="41" fillId="0" borderId="3" xfId="0" applyFont="1" applyFill="1" applyBorder="1"/>
    <xf numFmtId="0" fontId="0" fillId="2" borderId="1" xfId="0" quotePrefix="1" applyFill="1" applyBorder="1" applyAlignment="1">
      <alignment horizontal="center"/>
    </xf>
    <xf numFmtId="0" fontId="0" fillId="24" borderId="1" xfId="0" applyFont="1" applyFill="1" applyBorder="1" applyAlignment="1">
      <alignment horizontal="left" vertical="center"/>
    </xf>
    <xf numFmtId="0" fontId="0" fillId="18" borderId="1" xfId="0" applyFill="1" applyBorder="1"/>
    <xf numFmtId="0" fontId="0" fillId="23" borderId="1" xfId="0" applyFont="1" applyFill="1" applyBorder="1" applyAlignment="1">
      <alignment horizontal="left"/>
    </xf>
    <xf numFmtId="0" fontId="0" fillId="23" borderId="1" xfId="0" applyFont="1" applyFill="1" applyBorder="1" applyAlignment="1">
      <alignment horizontal="left" vertical="center"/>
    </xf>
    <xf numFmtId="0" fontId="0" fillId="23" borderId="1" xfId="0" applyFont="1" applyFill="1" applyBorder="1" applyAlignment="1">
      <alignment horizontal="center" vertical="center"/>
    </xf>
    <xf numFmtId="0" fontId="0" fillId="23" borderId="1" xfId="0" quotePrefix="1" applyNumberFormat="1" applyFont="1" applyFill="1" applyBorder="1" applyAlignment="1">
      <alignment horizontal="center" vertical="center"/>
    </xf>
    <xf numFmtId="0" fontId="0" fillId="23" borderId="1" xfId="0" applyFont="1" applyFill="1" applyBorder="1"/>
    <xf numFmtId="0" fontId="0" fillId="23" borderId="1" xfId="0" applyFont="1" applyFill="1" applyBorder="1" applyAlignment="1">
      <alignment horizontal="left" indent="1"/>
    </xf>
    <xf numFmtId="0" fontId="0" fillId="23" borderId="1" xfId="0" applyFill="1" applyBorder="1"/>
    <xf numFmtId="0" fontId="0" fillId="6" borderId="1" xfId="0" applyFont="1" applyFill="1" applyBorder="1" applyAlignment="1">
      <alignment horizontal="left" vertical="center"/>
    </xf>
    <xf numFmtId="0" fontId="0" fillId="6" borderId="1" xfId="0" applyFill="1" applyBorder="1"/>
    <xf numFmtId="1" fontId="0" fillId="6" borderId="1" xfId="0" applyNumberFormat="1" applyFont="1" applyFill="1" applyBorder="1" applyAlignment="1">
      <alignment horizontal="left" vertical="center"/>
    </xf>
    <xf numFmtId="166" fontId="10" fillId="17" borderId="0" xfId="0" applyNumberFormat="1" applyFont="1" applyFill="1" applyBorder="1" applyAlignment="1">
      <alignment horizontal="center" vertical="center" wrapText="1"/>
    </xf>
    <xf numFmtId="166" fontId="9" fillId="0" borderId="0" xfId="0" applyNumberFormat="1" applyFont="1" applyBorder="1" applyAlignment="1">
      <alignment horizontal="center" vertical="center"/>
    </xf>
    <xf numFmtId="0" fontId="0" fillId="0" borderId="3" xfId="0" applyBorder="1" applyAlignment="1">
      <alignment horizontal="center" vertical="center"/>
    </xf>
    <xf numFmtId="2" fontId="0" fillId="0" borderId="3" xfId="0" applyNumberFormat="1" applyBorder="1" applyAlignment="1">
      <alignment horizontal="center" vertical="center"/>
    </xf>
    <xf numFmtId="1" fontId="10" fillId="18" borderId="0" xfId="0" applyNumberFormat="1" applyFont="1" applyFill="1" applyBorder="1" applyAlignment="1">
      <alignment horizontal="center" vertical="center" wrapText="1"/>
    </xf>
    <xf numFmtId="1" fontId="9" fillId="0" borderId="0" xfId="0" applyNumberFormat="1" applyFont="1" applyBorder="1" applyAlignment="1">
      <alignment horizontal="center" vertical="center"/>
    </xf>
    <xf numFmtId="1" fontId="0" fillId="2" borderId="1" xfId="0" applyNumberFormat="1" applyFill="1" applyBorder="1"/>
    <xf numFmtId="0" fontId="7" fillId="6" borderId="1" xfId="0" applyFont="1" applyFill="1" applyBorder="1"/>
    <xf numFmtId="0" fontId="7" fillId="22" borderId="1" xfId="0" applyFont="1" applyFill="1" applyBorder="1"/>
    <xf numFmtId="0" fontId="7" fillId="23" borderId="1" xfId="0" applyFont="1" applyFill="1" applyBorder="1"/>
    <xf numFmtId="2" fontId="0" fillId="0" borderId="3" xfId="0" applyNumberFormat="1" applyFill="1" applyBorder="1" applyAlignment="1">
      <alignment horizontal="center" vertical="center"/>
    </xf>
    <xf numFmtId="0" fontId="9" fillId="0" borderId="0" xfId="7" applyFont="1" applyFill="1" applyBorder="1" applyAlignment="1" applyProtection="1">
      <alignment horizontal="center" vertical="center"/>
      <protection locked="0"/>
    </xf>
    <xf numFmtId="0" fontId="9" fillId="25" borderId="0" xfId="0" applyNumberFormat="1" applyFont="1" applyFill="1" applyBorder="1" applyAlignment="1">
      <alignment horizontal="center" vertical="center"/>
    </xf>
    <xf numFmtId="0" fontId="9" fillId="25" borderId="0" xfId="0" quotePrefix="1" applyNumberFormat="1" applyFont="1" applyFill="1" applyBorder="1" applyAlignment="1">
      <alignment horizontal="center" vertical="center"/>
    </xf>
    <xf numFmtId="0" fontId="43" fillId="0" borderId="0" xfId="0" applyFont="1"/>
    <xf numFmtId="0" fontId="0" fillId="6" borderId="0" xfId="0" applyFill="1"/>
    <xf numFmtId="0" fontId="9" fillId="6" borderId="0" xfId="0" applyNumberFormat="1" applyFont="1" applyFill="1" applyBorder="1" applyAlignment="1">
      <alignment horizontal="left" vertical="center"/>
    </xf>
    <xf numFmtId="0" fontId="47" fillId="26" borderId="6" xfId="18" applyFont="1" applyFill="1" applyBorder="1" applyAlignment="1">
      <alignment horizontal="center" vertical="center"/>
    </xf>
    <xf numFmtId="0" fontId="48" fillId="26" borderId="7" xfId="18" applyFont="1" applyFill="1" applyBorder="1" applyAlignment="1">
      <alignment horizontal="center" vertical="center"/>
    </xf>
    <xf numFmtId="0" fontId="46" fillId="0" borderId="1" xfId="18" applyFont="1" applyFill="1" applyBorder="1" applyAlignment="1">
      <alignment horizontal="center" vertical="center"/>
    </xf>
    <xf numFmtId="0" fontId="44" fillId="0" borderId="1" xfId="18" applyFont="1" applyBorder="1" applyAlignment="1">
      <alignment horizontal="center" vertical="center" wrapText="1"/>
    </xf>
    <xf numFmtId="166" fontId="44" fillId="0" borderId="1" xfId="0" applyNumberFormat="1" applyFont="1" applyBorder="1" applyAlignment="1">
      <alignment horizontal="center" vertical="center"/>
    </xf>
    <xf numFmtId="166" fontId="44" fillId="0" borderId="2" xfId="0" applyNumberFormat="1" applyFont="1" applyBorder="1" applyAlignment="1">
      <alignment horizontal="center" vertical="center"/>
    </xf>
    <xf numFmtId="167" fontId="44" fillId="26" borderId="1" xfId="18" applyNumberFormat="1" applyFont="1" applyFill="1" applyBorder="1" applyAlignment="1">
      <alignment horizontal="center" vertical="center" wrapText="1"/>
    </xf>
    <xf numFmtId="167" fontId="46" fillId="26" borderId="2" xfId="0" applyNumberFormat="1" applyFont="1" applyFill="1" applyBorder="1" applyAlignment="1">
      <alignment horizontal="center" vertical="center"/>
    </xf>
    <xf numFmtId="167" fontId="0" fillId="0" borderId="0" xfId="0" applyNumberFormat="1" applyAlignment="1">
      <alignment horizontal="center" vertical="center"/>
    </xf>
    <xf numFmtId="0" fontId="44" fillId="0" borderId="1" xfId="0" applyFont="1" applyBorder="1" applyAlignment="1">
      <alignment horizontal="center" vertical="center" wrapText="1"/>
    </xf>
    <xf numFmtId="1" fontId="44" fillId="0" borderId="1" xfId="0" applyNumberFormat="1" applyFont="1" applyBorder="1" applyAlignment="1">
      <alignment horizontal="center"/>
    </xf>
    <xf numFmtId="1" fontId="44" fillId="0" borderId="5" xfId="0" applyNumberFormat="1" applyFont="1" applyBorder="1" applyAlignment="1">
      <alignment horizontal="center"/>
    </xf>
    <xf numFmtId="1" fontId="44" fillId="0" borderId="2" xfId="0" applyNumberFormat="1" applyFont="1" applyFill="1" applyBorder="1" applyAlignment="1">
      <alignment horizontal="center" vertical="center"/>
    </xf>
    <xf numFmtId="1" fontId="44" fillId="0" borderId="1" xfId="0" applyNumberFormat="1" applyFont="1" applyFill="1" applyBorder="1" applyAlignment="1">
      <alignment horizontal="center" vertical="center"/>
    </xf>
    <xf numFmtId="0" fontId="44" fillId="0" borderId="1" xfId="0" applyFont="1" applyBorder="1" applyAlignment="1">
      <alignment horizontal="center" vertical="center"/>
    </xf>
    <xf numFmtId="166" fontId="44" fillId="0" borderId="1" xfId="0" applyNumberFormat="1" applyFont="1" applyFill="1" applyBorder="1" applyAlignment="1">
      <alignment horizontal="center" vertical="center"/>
    </xf>
    <xf numFmtId="0" fontId="47" fillId="0" borderId="1" xfId="19" applyFont="1" applyBorder="1" applyProtection="1">
      <alignment vertical="center"/>
      <protection hidden="1"/>
    </xf>
    <xf numFmtId="167" fontId="47" fillId="0" borderId="1" xfId="19" applyNumberFormat="1" applyFont="1" applyBorder="1" applyAlignment="1" applyProtection="1">
      <alignment horizontal="center" vertical="center"/>
      <protection hidden="1"/>
    </xf>
    <xf numFmtId="0" fontId="47" fillId="0" borderId="1" xfId="19" applyFont="1" applyFill="1" applyBorder="1" applyProtection="1">
      <alignment vertical="center"/>
      <protection hidden="1"/>
    </xf>
    <xf numFmtId="0" fontId="47" fillId="0" borderId="1" xfId="19" applyFont="1" applyBorder="1" applyAlignment="1" applyProtection="1">
      <alignment vertical="center"/>
      <protection hidden="1"/>
    </xf>
    <xf numFmtId="0" fontId="47" fillId="0" borderId="1" xfId="20" applyFont="1" applyBorder="1" applyAlignment="1" applyProtection="1">
      <alignment vertical="center"/>
      <protection hidden="1"/>
    </xf>
    <xf numFmtId="167" fontId="47" fillId="0" borderId="1" xfId="20" applyNumberFormat="1" applyFont="1" applyBorder="1" applyAlignment="1" applyProtection="1">
      <alignment horizontal="center" vertical="center"/>
      <protection hidden="1"/>
    </xf>
    <xf numFmtId="0" fontId="47" fillId="0" borderId="1" xfId="19" applyFont="1" applyBorder="1" applyAlignment="1" applyProtection="1">
      <alignment horizontal="left" vertical="center"/>
      <protection hidden="1"/>
    </xf>
    <xf numFmtId="0" fontId="47" fillId="0" borderId="1" xfId="0" applyFont="1" applyBorder="1" applyAlignment="1">
      <alignment horizontal="left" vertical="center"/>
    </xf>
    <xf numFmtId="167" fontId="47" fillId="6" borderId="1" xfId="0" applyNumberFormat="1" applyFont="1" applyFill="1" applyBorder="1" applyAlignment="1">
      <alignment horizontal="center" vertical="center"/>
    </xf>
    <xf numFmtId="167" fontId="47" fillId="0" borderId="1" xfId="0" applyNumberFormat="1" applyFont="1" applyBorder="1" applyAlignment="1">
      <alignment horizontal="center" vertical="center"/>
    </xf>
    <xf numFmtId="0" fontId="38" fillId="0" borderId="0" xfId="12" applyFont="1" applyFill="1" applyBorder="1" applyAlignment="1">
      <alignment horizontal="left" vertical="top"/>
    </xf>
    <xf numFmtId="167" fontId="38" fillId="0" borderId="0" xfId="13" applyNumberFormat="1" applyFont="1" applyFill="1" applyBorder="1" applyAlignment="1">
      <alignment horizontal="center" vertical="center"/>
    </xf>
    <xf numFmtId="0" fontId="0" fillId="2" borderId="1" xfId="0" applyFill="1" applyBorder="1" applyAlignment="1">
      <alignment horizontal="left"/>
    </xf>
    <xf numFmtId="14" fontId="0" fillId="0" borderId="1" xfId="0" applyNumberFormat="1" applyBorder="1"/>
    <xf numFmtId="1" fontId="50" fillId="3" borderId="1" xfId="0" applyNumberFormat="1" applyFont="1" applyFill="1" applyBorder="1" applyAlignment="1">
      <alignment horizontal="left" vertical="center"/>
    </xf>
    <xf numFmtId="0" fontId="50" fillId="3" borderId="1" xfId="0" applyFont="1" applyFill="1" applyBorder="1" applyAlignment="1">
      <alignment horizontal="left" vertical="center"/>
    </xf>
    <xf numFmtId="0" fontId="50" fillId="6" borderId="1" xfId="0" applyFont="1" applyFill="1" applyBorder="1" applyAlignment="1">
      <alignment horizontal="left" vertical="center"/>
    </xf>
    <xf numFmtId="0" fontId="50" fillId="3" borderId="1" xfId="0" applyFont="1" applyFill="1" applyBorder="1"/>
    <xf numFmtId="0" fontId="50" fillId="6" borderId="1" xfId="0" applyFont="1" applyFill="1" applyBorder="1"/>
    <xf numFmtId="1" fontId="0" fillId="24" borderId="1" xfId="0" applyNumberFormat="1" applyFont="1" applyFill="1" applyBorder="1" applyAlignment="1">
      <alignment horizontal="left" vertical="center"/>
    </xf>
    <xf numFmtId="0" fontId="0" fillId="24" borderId="1" xfId="0" applyFill="1" applyBorder="1"/>
    <xf numFmtId="0" fontId="0" fillId="0" borderId="1" xfId="0" applyFont="1" applyFill="1" applyBorder="1"/>
    <xf numFmtId="0" fontId="51" fillId="22" borderId="1" xfId="0" applyFont="1" applyFill="1" applyBorder="1" applyAlignment="1">
      <alignment horizontal="left" vertical="center"/>
    </xf>
    <xf numFmtId="0" fontId="52" fillId="2" borderId="1" xfId="0" applyFont="1" applyFill="1" applyBorder="1" applyAlignment="1">
      <alignment horizontal="left" vertical="center"/>
    </xf>
    <xf numFmtId="0" fontId="52" fillId="2" borderId="1" xfId="0" applyFont="1" applyFill="1" applyBorder="1" applyAlignment="1">
      <alignment horizontal="left"/>
    </xf>
    <xf numFmtId="0" fontId="52" fillId="2" borderId="1" xfId="0" applyFont="1" applyFill="1" applyBorder="1"/>
    <xf numFmtId="0" fontId="40" fillId="0" borderId="0" xfId="0" applyNumberFormat="1" applyFont="1" applyFill="1" applyBorder="1" applyAlignment="1">
      <alignment horizontal="center" vertical="center"/>
    </xf>
    <xf numFmtId="0" fontId="53" fillId="0" borderId="0" xfId="0" applyNumberFormat="1" applyFont="1" applyFill="1" applyBorder="1" applyAlignment="1">
      <alignment horizontal="center" vertical="center"/>
    </xf>
    <xf numFmtId="0" fontId="54" fillId="0" borderId="0" xfId="0" applyNumberFormat="1" applyFont="1" applyFill="1" applyBorder="1" applyAlignment="1">
      <alignment horizontal="center" vertical="center"/>
    </xf>
    <xf numFmtId="0" fontId="47" fillId="0" borderId="1" xfId="0" applyFont="1" applyFill="1" applyBorder="1" applyAlignment="1">
      <alignment horizontal="left" vertical="center"/>
    </xf>
    <xf numFmtId="0" fontId="47" fillId="0" borderId="1" xfId="0" applyFont="1" applyBorder="1"/>
    <xf numFmtId="0" fontId="19" fillId="0" borderId="3" xfId="0" applyFont="1" applyFill="1" applyBorder="1" applyAlignment="1">
      <alignment horizontal="center" vertical="center"/>
    </xf>
    <xf numFmtId="49" fontId="9" fillId="0" borderId="3" xfId="0" applyNumberFormat="1" applyFont="1" applyBorder="1" applyAlignment="1">
      <alignment horizontal="center" vertical="center"/>
    </xf>
    <xf numFmtId="1" fontId="9" fillId="0" borderId="3" xfId="0" applyNumberFormat="1" applyFont="1" applyBorder="1" applyAlignment="1">
      <alignment horizontal="center" vertical="center"/>
    </xf>
    <xf numFmtId="0" fontId="9" fillId="0" borderId="3" xfId="0" applyFont="1" applyBorder="1" applyAlignment="1">
      <alignment horizontal="center" vertical="center"/>
    </xf>
    <xf numFmtId="0" fontId="0" fillId="0" borderId="4" xfId="0" applyBorder="1" applyAlignment="1">
      <alignment horizontal="center" vertical="center"/>
    </xf>
    <xf numFmtId="1" fontId="50" fillId="0" borderId="4" xfId="0" quotePrefix="1" applyNumberFormat="1" applyFont="1" applyBorder="1" applyAlignment="1">
      <alignment horizontal="center" vertical="center"/>
    </xf>
    <xf numFmtId="1" fontId="0" fillId="0" borderId="4" xfId="0" quotePrefix="1" applyNumberFormat="1" applyBorder="1" applyAlignment="1">
      <alignment horizontal="center" vertical="center"/>
    </xf>
    <xf numFmtId="1" fontId="0" fillId="0" borderId="4" xfId="0" applyNumberFormat="1" applyBorder="1" applyAlignment="1">
      <alignment horizontal="center" vertical="center"/>
    </xf>
    <xf numFmtId="1" fontId="0" fillId="0" borderId="0" xfId="0" applyNumberFormat="1" applyAlignment="1">
      <alignment horizontal="center" vertical="center"/>
    </xf>
    <xf numFmtId="167" fontId="0" fillId="0" borderId="1" xfId="0" applyNumberFormat="1" applyBorder="1" applyAlignment="1">
      <alignment horizontal="center" vertical="center"/>
    </xf>
    <xf numFmtId="0" fontId="37" fillId="27" borderId="0" xfId="0" applyNumberFormat="1" applyFont="1" applyFill="1" applyBorder="1" applyAlignment="1">
      <alignment horizontal="center" vertical="center" wrapText="1"/>
    </xf>
    <xf numFmtId="2" fontId="10" fillId="27" borderId="0" xfId="0" applyNumberFormat="1" applyFont="1" applyFill="1" applyBorder="1" applyAlignment="1">
      <alignment horizontal="center" vertical="center" wrapText="1"/>
    </xf>
    <xf numFmtId="0" fontId="10" fillId="27" borderId="0" xfId="0" applyNumberFormat="1" applyFont="1" applyFill="1" applyBorder="1" applyAlignment="1">
      <alignment horizontal="center" vertical="center" wrapText="1"/>
    </xf>
    <xf numFmtId="49" fontId="10" fillId="27" borderId="0" xfId="0" applyNumberFormat="1" applyFont="1" applyFill="1" applyBorder="1" applyAlignment="1">
      <alignment horizontal="center" vertical="center" wrapText="1"/>
    </xf>
    <xf numFmtId="0" fontId="10" fillId="27" borderId="0" xfId="0" applyFont="1" applyFill="1" applyBorder="1" applyAlignment="1">
      <alignment horizontal="center" vertical="center" wrapText="1"/>
    </xf>
    <xf numFmtId="49" fontId="34" fillId="27" borderId="0" xfId="0" applyNumberFormat="1" applyFont="1" applyFill="1" applyBorder="1" applyAlignment="1">
      <alignment horizontal="center" vertical="center" wrapText="1"/>
    </xf>
    <xf numFmtId="0" fontId="0" fillId="0" borderId="0" xfId="0"/>
    <xf numFmtId="0" fontId="39" fillId="0" borderId="0" xfId="12" applyFont="1" applyFill="1" applyBorder="1">
      <alignment vertical="top"/>
    </xf>
    <xf numFmtId="0" fontId="39" fillId="0" borderId="0" xfId="12" applyFont="1" applyFill="1" applyBorder="1" applyAlignment="1">
      <alignment horizontal="center" vertical="top"/>
    </xf>
    <xf numFmtId="1" fontId="39" fillId="0" borderId="0" xfId="12" applyNumberFormat="1" applyFont="1" applyFill="1" applyBorder="1" applyAlignment="1">
      <alignment horizontal="center" vertical="top"/>
    </xf>
    <xf numFmtId="2" fontId="38" fillId="0" borderId="0" xfId="0" applyNumberFormat="1" applyFont="1" applyFill="1" applyBorder="1" applyAlignment="1">
      <alignment horizontal="center"/>
    </xf>
    <xf numFmtId="1" fontId="38" fillId="0" borderId="0" xfId="0" applyNumberFormat="1" applyFont="1" applyFill="1" applyBorder="1" applyAlignment="1">
      <alignment horizontal="center" vertical="center"/>
    </xf>
    <xf numFmtId="0" fontId="0" fillId="23" borderId="0" xfId="0" applyNumberFormat="1" applyFill="1" applyAlignment="1">
      <alignment horizontal="center"/>
    </xf>
    <xf numFmtId="0" fontId="0" fillId="0" borderId="0" xfId="0" applyNumberFormat="1" applyFill="1" applyAlignment="1">
      <alignment horizontal="center"/>
    </xf>
    <xf numFmtId="0" fontId="19" fillId="4" borderId="4" xfId="0" applyFont="1" applyFill="1" applyBorder="1" applyAlignment="1">
      <alignment horizontal="center"/>
    </xf>
    <xf numFmtId="0" fontId="19" fillId="4" borderId="3" xfId="0" applyFont="1" applyFill="1" applyBorder="1" applyAlignment="1">
      <alignment horizontal="center"/>
    </xf>
    <xf numFmtId="0" fontId="19" fillId="4" borderId="0" xfId="0" applyFont="1" applyFill="1" applyAlignment="1">
      <alignment horizontal="center"/>
    </xf>
    <xf numFmtId="0" fontId="19" fillId="4" borderId="0" xfId="0" applyFont="1" applyFill="1" applyBorder="1" applyAlignment="1">
      <alignment horizontal="center"/>
    </xf>
    <xf numFmtId="0" fontId="19" fillId="4" borderId="4" xfId="0" applyFont="1" applyFill="1" applyBorder="1" applyAlignment="1">
      <alignment horizontal="center" vertical="center"/>
    </xf>
    <xf numFmtId="0" fontId="19" fillId="4" borderId="3" xfId="0" applyFont="1" applyFill="1" applyBorder="1" applyAlignment="1">
      <alignment horizontal="center" vertical="center"/>
    </xf>
    <xf numFmtId="0" fontId="19" fillId="0" borderId="0" xfId="0" applyFont="1" applyFill="1" applyBorder="1" applyAlignment="1">
      <alignment horizontal="center"/>
    </xf>
    <xf numFmtId="0" fontId="0" fillId="4" borderId="0" xfId="0" applyFill="1" applyAlignment="1">
      <alignment horizontal="center"/>
    </xf>
    <xf numFmtId="0" fontId="0" fillId="4" borderId="0" xfId="0" applyFill="1" applyAlignment="1">
      <alignment horizontal="center" wrapText="1"/>
    </xf>
  </cellXfs>
  <cellStyles count="23">
    <cellStyle name="3232" xfId="1"/>
    <cellStyle name="3232 2" xfId="15"/>
    <cellStyle name="Hyperlink" xfId="14" builtinId="8"/>
    <cellStyle name="Normal" xfId="0" builtinId="0"/>
    <cellStyle name="Normal 10" xfId="19"/>
    <cellStyle name="Normal 10 2" xfId="20"/>
    <cellStyle name="Normal 2" xfId="2"/>
    <cellStyle name="Normal 2 2" xfId="12"/>
    <cellStyle name="Normal 2 3" xfId="16"/>
    <cellStyle name="Normal 2 3 2" xfId="22"/>
    <cellStyle name="Normal 2 4" xfId="21"/>
    <cellStyle name="Normal 3" xfId="13"/>
    <cellStyle name="Normal 4" xfId="18"/>
    <cellStyle name="Normal 5" xfId="11"/>
    <cellStyle name="Normal_DataCollection" xfId="3"/>
    <cellStyle name="Normal_Formulae" xfId="4"/>
    <cellStyle name="Normal_Litton data2" xfId="5"/>
    <cellStyle name="一般_Dk Df Projection" xfId="10"/>
    <cellStyle name="常规_Core" xfId="8"/>
    <cellStyle name="样式 1" xfId="9"/>
    <cellStyle name="样式 1 2" xfId="17"/>
    <cellStyle name="標準_Micron" xfId="6"/>
    <cellStyle name="標準_Micron_DataCollection" xfId="7"/>
  </cellStyles>
  <dxfs count="250">
    <dxf>
      <font>
        <b val="0"/>
        <i/>
        <condense val="0"/>
        <extend val="0"/>
        <color indexed="10"/>
      </font>
      <fill>
        <patternFill>
          <bgColor indexed="22"/>
        </patternFill>
      </fill>
    </dxf>
    <dxf>
      <font>
        <b val="0"/>
        <i/>
        <condense val="0"/>
        <extend val="0"/>
        <color indexed="13"/>
      </font>
      <fill>
        <patternFill>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lor rgb="FF9C0006"/>
      </font>
      <fill>
        <patternFill>
          <bgColor rgb="FFFFC7CE"/>
        </patternFill>
      </fill>
    </dxf>
    <dxf>
      <font>
        <b val="0"/>
        <i/>
        <condense val="0"/>
        <extend val="0"/>
        <color indexed="10"/>
      </font>
      <fill>
        <patternFill>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b val="0"/>
        <i/>
        <condense val="0"/>
        <extend val="0"/>
        <color indexed="10"/>
      </font>
      <fill>
        <patternFill>
          <bgColor indexed="22"/>
        </patternFill>
      </fill>
    </dxf>
    <dxf>
      <font>
        <b val="0"/>
        <i/>
        <condense val="0"/>
        <extend val="0"/>
        <color indexed="34"/>
      </font>
      <fill>
        <patternFill>
          <fgColor indexed="64"/>
          <bgColor indexed="22"/>
        </patternFill>
      </fill>
    </dxf>
    <dxf>
      <fill>
        <patternFill>
          <bgColor rgb="FFFF0000"/>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s>
  <tableStyles count="0" defaultTableStyle="TableStyleMedium9" defaultPivotStyle="PivotStyleLight16"/>
  <colors>
    <mruColors>
      <color rgb="FFFF0066"/>
      <color rgb="FFFF00FF"/>
      <color rgb="FFFF33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11</xdr:col>
      <xdr:colOff>209550</xdr:colOff>
      <xdr:row>1</xdr:row>
      <xdr:rowOff>28575</xdr:rowOff>
    </xdr:from>
    <xdr:to>
      <xdr:col>24</xdr:col>
      <xdr:colOff>138112</xdr:colOff>
      <xdr:row>25</xdr:row>
      <xdr:rowOff>95603</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5200" y="190500"/>
          <a:ext cx="7605712" cy="3953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323850</xdr:colOff>
      <xdr:row>28</xdr:row>
      <xdr:rowOff>114300</xdr:rowOff>
    </xdr:from>
    <xdr:to>
      <xdr:col>24</xdr:col>
      <xdr:colOff>76200</xdr:colOff>
      <xdr:row>53</xdr:row>
      <xdr:rowOff>76200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86900" y="4810125"/>
          <a:ext cx="7429500" cy="401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838200</xdr:colOff>
      <xdr:row>36</xdr:row>
      <xdr:rowOff>142875</xdr:rowOff>
    </xdr:from>
    <xdr:to>
      <xdr:col>12</xdr:col>
      <xdr:colOff>589712</xdr:colOff>
      <xdr:row>57</xdr:row>
      <xdr:rowOff>170996</xdr:rowOff>
    </xdr:to>
    <xdr:pic>
      <xdr:nvPicPr>
        <xdr:cNvPr id="2" name="Picture 1"/>
        <xdr:cNvPicPr>
          <a:picLocks noChangeAspect="1"/>
        </xdr:cNvPicPr>
      </xdr:nvPicPr>
      <xdr:blipFill>
        <a:blip xmlns:r="http://schemas.openxmlformats.org/officeDocument/2006/relationships" r:embed="rId1"/>
        <a:stretch>
          <a:fillRect/>
        </a:stretch>
      </xdr:blipFill>
      <xdr:spPr>
        <a:xfrm>
          <a:off x="6438900" y="6143625"/>
          <a:ext cx="6704762" cy="3628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84.100.198\ci-databk\InPlan_Docs\Training\Advance\Stackup\Datacollec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UNITS_TRANSLATION"/>
      <sheetName val="RCF"/>
      <sheetName val="FOIL"/>
      <sheetName val="PREPREG"/>
      <sheetName val="S1165"/>
      <sheetName val="S155"/>
      <sheetName val="S1141KF"/>
      <sheetName val="CORE"/>
      <sheetName val="S1141 170"/>
      <sheetName val="S1141"/>
      <sheetName val="Isola"/>
      <sheetName val="LAMINATE"/>
      <sheetName val="FLEX_CLAD"/>
      <sheetName val="BONDPLY"/>
      <sheetName val="ADHESIVE"/>
      <sheetName val="COVER_FILM"/>
      <sheetName val="GENERAL_ACCESSORY"/>
      <sheetName val="CUSTOMER"/>
      <sheetName val="DRILL_BIT"/>
      <sheetName val="MRP_STE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sheetData sheetId="16"/>
      <sheetData sheetId="17"/>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inplan_support@frontline-pcb.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F61"/>
  <sheetViews>
    <sheetView zoomScaleNormal="100" workbookViewId="0">
      <selection activeCell="A26" sqref="A26"/>
    </sheetView>
  </sheetViews>
  <sheetFormatPr defaultRowHeight="12.75"/>
  <cols>
    <col min="1" max="1" width="81" bestFit="1" customWidth="1"/>
    <col min="2" max="2" width="9" customWidth="1"/>
    <col min="3" max="3" width="26.42578125" bestFit="1" customWidth="1"/>
    <col min="6" max="6" width="87" bestFit="1" customWidth="1"/>
  </cols>
  <sheetData>
    <row r="3" spans="1:6" ht="26.25">
      <c r="A3" s="35" t="s">
        <v>100</v>
      </c>
      <c r="F3" s="185" t="s">
        <v>410</v>
      </c>
    </row>
    <row r="4" spans="1:6">
      <c r="F4" s="185" t="s">
        <v>411</v>
      </c>
    </row>
    <row r="5" spans="1:6">
      <c r="A5" s="18" t="s">
        <v>533</v>
      </c>
      <c r="F5" t="s">
        <v>414</v>
      </c>
    </row>
    <row r="6" spans="1:6">
      <c r="A6" s="18" t="s">
        <v>535</v>
      </c>
      <c r="F6" t="s">
        <v>415</v>
      </c>
    </row>
    <row r="7" spans="1:6">
      <c r="F7" t="s">
        <v>416</v>
      </c>
    </row>
    <row r="8" spans="1:6">
      <c r="F8" t="s">
        <v>418</v>
      </c>
    </row>
    <row r="9" spans="1:6" ht="26.25">
      <c r="A9" s="36" t="s">
        <v>290</v>
      </c>
      <c r="F9" t="s">
        <v>443</v>
      </c>
    </row>
    <row r="11" spans="1:6">
      <c r="A11" s="18" t="s">
        <v>417</v>
      </c>
    </row>
    <row r="12" spans="1:6">
      <c r="F12" t="s">
        <v>451</v>
      </c>
    </row>
    <row r="13" spans="1:6">
      <c r="A13" t="s">
        <v>130</v>
      </c>
      <c r="F13" t="s">
        <v>482</v>
      </c>
    </row>
    <row r="14" spans="1:6">
      <c r="A14" t="s">
        <v>101</v>
      </c>
      <c r="F14" t="s">
        <v>483</v>
      </c>
    </row>
    <row r="15" spans="1:6">
      <c r="A15" t="s">
        <v>131</v>
      </c>
    </row>
    <row r="16" spans="1:6">
      <c r="A16" t="s">
        <v>132</v>
      </c>
      <c r="F16" t="s">
        <v>461</v>
      </c>
    </row>
    <row r="17" spans="1:6">
      <c r="A17" t="s">
        <v>133</v>
      </c>
      <c r="F17" t="s">
        <v>484</v>
      </c>
    </row>
    <row r="18" spans="1:6">
      <c r="A18" t="s">
        <v>532</v>
      </c>
    </row>
    <row r="19" spans="1:6">
      <c r="A19" s="18"/>
      <c r="F19" t="s">
        <v>460</v>
      </c>
    </row>
    <row r="20" spans="1:6">
      <c r="F20" s="179" t="s">
        <v>485</v>
      </c>
    </row>
    <row r="21" spans="1:6">
      <c r="A21" s="133" t="s">
        <v>291</v>
      </c>
      <c r="F21" s="179" t="s">
        <v>486</v>
      </c>
    </row>
    <row r="22" spans="1:6">
      <c r="A22" s="135" t="s">
        <v>531</v>
      </c>
      <c r="F22" s="179" t="s">
        <v>487</v>
      </c>
    </row>
    <row r="23" spans="1:6" s="185" customFormat="1">
      <c r="F23" s="186"/>
    </row>
    <row r="24" spans="1:6">
      <c r="A24" t="s">
        <v>134</v>
      </c>
    </row>
    <row r="25" spans="1:6" ht="13.5">
      <c r="A25" s="156" t="s">
        <v>358</v>
      </c>
      <c r="B25" s="157"/>
      <c r="F25" t="s">
        <v>475</v>
      </c>
    </row>
    <row r="26" spans="1:6" ht="13.5">
      <c r="A26" s="159" t="s">
        <v>359</v>
      </c>
      <c r="B26" s="158"/>
      <c r="F26" s="179" t="s">
        <v>488</v>
      </c>
    </row>
    <row r="27" spans="1:6" ht="13.5">
      <c r="A27" s="161" t="s">
        <v>527</v>
      </c>
      <c r="B27" s="161"/>
      <c r="F27" s="179" t="s">
        <v>472</v>
      </c>
    </row>
    <row r="28" spans="1:6" s="185" customFormat="1" ht="13.5">
      <c r="A28" s="161" t="s">
        <v>530</v>
      </c>
      <c r="B28" s="161"/>
      <c r="F28" s="186"/>
    </row>
    <row r="29" spans="1:6" ht="13.5">
      <c r="A29" s="160" t="s">
        <v>526</v>
      </c>
      <c r="B29" s="160"/>
      <c r="F29" s="185" t="s">
        <v>518</v>
      </c>
    </row>
    <row r="30" spans="1:6" s="185" customFormat="1" ht="13.5">
      <c r="A30" s="160" t="s">
        <v>525</v>
      </c>
      <c r="B30" s="160"/>
      <c r="F30" s="186" t="s">
        <v>489</v>
      </c>
    </row>
    <row r="31" spans="1:6">
      <c r="A31" s="97"/>
      <c r="B31" s="164"/>
      <c r="C31" s="97"/>
      <c r="F31" s="185" t="s">
        <v>490</v>
      </c>
    </row>
    <row r="32" spans="1:6">
      <c r="A32" s="178" t="s">
        <v>528</v>
      </c>
      <c r="F32" t="s">
        <v>519</v>
      </c>
    </row>
    <row r="33" spans="1:6" s="185" customFormat="1">
      <c r="A33" s="178" t="s">
        <v>529</v>
      </c>
    </row>
    <row r="34" spans="1:6">
      <c r="F34" t="s">
        <v>522</v>
      </c>
    </row>
    <row r="35" spans="1:6">
      <c r="F35" t="s">
        <v>523</v>
      </c>
    </row>
    <row r="36" spans="1:6">
      <c r="F36" t="s">
        <v>524</v>
      </c>
    </row>
    <row r="38" spans="1:6">
      <c r="A38" t="s">
        <v>135</v>
      </c>
      <c r="F38" t="s">
        <v>534</v>
      </c>
    </row>
    <row r="39" spans="1:6">
      <c r="A39" t="s">
        <v>136</v>
      </c>
      <c r="F39" t="s">
        <v>536</v>
      </c>
    </row>
    <row r="55" spans="6:6">
      <c r="F55" s="179"/>
    </row>
    <row r="56" spans="6:6">
      <c r="F56" s="179"/>
    </row>
    <row r="57" spans="6:6">
      <c r="F57" s="179"/>
    </row>
    <row r="60" spans="6:6">
      <c r="F60" s="179"/>
    </row>
    <row r="61" spans="6:6">
      <c r="F61" s="179"/>
    </row>
  </sheetData>
  <phoneticPr fontId="12" type="noConversion"/>
  <conditionalFormatting sqref="B25">
    <cfRule type="cellIs" dxfId="249" priority="5" stopIfTrue="1" operator="equal">
      <formula>"TBA"</formula>
    </cfRule>
    <cfRule type="cellIs" dxfId="248" priority="6" stopIfTrue="1" operator="equal">
      <formula>"Unknown"</formula>
    </cfRule>
  </conditionalFormatting>
  <conditionalFormatting sqref="B26">
    <cfRule type="cellIs" dxfId="247" priority="4" stopIfTrue="1" operator="equal">
      <formula>"Unknown"</formula>
    </cfRule>
  </conditionalFormatting>
  <conditionalFormatting sqref="A25">
    <cfRule type="cellIs" dxfId="246" priority="2" stopIfTrue="1" operator="equal">
      <formula>"TBA"</formula>
    </cfRule>
    <cfRule type="cellIs" dxfId="245" priority="3" stopIfTrue="1" operator="equal">
      <formula>"Unknown"</formula>
    </cfRule>
  </conditionalFormatting>
  <conditionalFormatting sqref="A26">
    <cfRule type="cellIs" dxfId="244" priority="1" stopIfTrue="1" operator="equal">
      <formula>"Unknown"</formula>
    </cfRule>
  </conditionalFormatting>
  <hyperlinks>
    <hyperlink ref="A22" r:id="rId1" display="inplan_support@frontline-pcb.com"/>
  </hyperlinks>
  <pageMargins left="0.25" right="0.25" top="0.75" bottom="0.75" header="0.3" footer="0.3"/>
  <pageSetup paperSize="9" orientation="portrait"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F103"/>
  <sheetViews>
    <sheetView workbookViewId="0">
      <selection activeCell="D21" sqref="D21"/>
    </sheetView>
  </sheetViews>
  <sheetFormatPr defaultRowHeight="13.5"/>
  <cols>
    <col min="1" max="1" width="2.140625" bestFit="1" customWidth="1"/>
    <col min="2" max="2" width="15.5703125" customWidth="1"/>
    <col min="3" max="3" width="6.7109375" customWidth="1"/>
    <col min="4" max="4" width="34" customWidth="1"/>
    <col min="5" max="5" width="7" style="100" customWidth="1"/>
    <col min="6" max="6" width="13.85546875" style="100" customWidth="1"/>
    <col min="7" max="7" width="6.28515625" customWidth="1"/>
    <col min="8" max="8" width="20.85546875" customWidth="1"/>
    <col min="9" max="9" width="7.140625" style="185" customWidth="1"/>
    <col min="10" max="10" width="20.85546875" style="185" customWidth="1"/>
    <col min="11" max="11" width="7.85546875" style="76" customWidth="1"/>
    <col min="12" max="12" width="29.140625" style="77" customWidth="1"/>
    <col min="13" max="13" width="7.140625" customWidth="1"/>
    <col min="14" max="14" width="18.28515625" customWidth="1"/>
    <col min="15" max="15" width="5.7109375" customWidth="1"/>
    <col min="16" max="16" width="23" customWidth="1"/>
    <col min="17" max="17" width="7" customWidth="1"/>
    <col min="18" max="18" width="21.28515625" customWidth="1"/>
    <col min="19" max="19" width="5.7109375" style="100" customWidth="1"/>
    <col min="20" max="20" width="23" customWidth="1"/>
    <col min="21" max="21" width="5.7109375" customWidth="1"/>
    <col min="22" max="22" width="23" customWidth="1"/>
    <col min="23" max="23" width="5.7109375" customWidth="1"/>
    <col min="24" max="24" width="29" bestFit="1" customWidth="1"/>
    <col min="25" max="25" width="6.85546875" customWidth="1"/>
    <col min="26" max="26" width="19.42578125" customWidth="1"/>
    <col min="27" max="27" width="5.7109375" customWidth="1"/>
    <col min="28" max="28" width="23.140625" bestFit="1" customWidth="1"/>
    <col min="29" max="29" width="5.7109375" style="185" customWidth="1"/>
    <col min="30" max="30" width="23.140625" style="185" bestFit="1" customWidth="1"/>
    <col min="31" max="31" width="5.85546875" style="185" customWidth="1"/>
    <col min="32" max="32" width="23.140625" style="185" bestFit="1" customWidth="1"/>
  </cols>
  <sheetData>
    <row r="1" spans="1:32" ht="12.75">
      <c r="A1" s="396" t="s">
        <v>63</v>
      </c>
      <c r="B1" s="394"/>
      <c r="C1" s="393" t="s">
        <v>168</v>
      </c>
      <c r="D1" s="394"/>
      <c r="E1" s="393" t="s">
        <v>143</v>
      </c>
      <c r="F1" s="394"/>
      <c r="G1" s="395" t="s">
        <v>154</v>
      </c>
      <c r="H1" s="395"/>
      <c r="I1" s="397" t="s">
        <v>313</v>
      </c>
      <c r="J1" s="398"/>
      <c r="K1" s="393" t="s">
        <v>194</v>
      </c>
      <c r="L1" s="394"/>
      <c r="M1" s="395" t="s">
        <v>30</v>
      </c>
      <c r="N1" s="395"/>
      <c r="O1" s="393" t="s">
        <v>148</v>
      </c>
      <c r="P1" s="394"/>
      <c r="Q1" s="395" t="s">
        <v>195</v>
      </c>
      <c r="R1" s="395"/>
      <c r="S1" s="393" t="s">
        <v>456</v>
      </c>
      <c r="T1" s="394"/>
      <c r="U1" s="393" t="s">
        <v>457</v>
      </c>
      <c r="V1" s="394"/>
      <c r="W1" s="393" t="s">
        <v>365</v>
      </c>
      <c r="X1" s="394"/>
      <c r="Y1" s="393" t="s">
        <v>514</v>
      </c>
      <c r="Z1" s="394"/>
      <c r="AA1" s="393" t="s">
        <v>373</v>
      </c>
      <c r="AB1" s="394"/>
      <c r="AC1" s="393" t="s">
        <v>494</v>
      </c>
      <c r="AD1" s="394"/>
      <c r="AE1" s="393" t="s">
        <v>3</v>
      </c>
      <c r="AF1" s="394"/>
    </row>
    <row r="2" spans="1:32" ht="12.75">
      <c r="A2" s="396" t="s">
        <v>197</v>
      </c>
      <c r="B2" s="394"/>
      <c r="C2" s="393" t="s">
        <v>198</v>
      </c>
      <c r="D2" s="394"/>
      <c r="E2" s="393" t="s">
        <v>199</v>
      </c>
      <c r="F2" s="394"/>
      <c r="G2" s="395" t="s">
        <v>200</v>
      </c>
      <c r="H2" s="395"/>
      <c r="I2" s="187"/>
      <c r="J2" s="191" t="s">
        <v>520</v>
      </c>
      <c r="K2" s="393" t="s">
        <v>201</v>
      </c>
      <c r="L2" s="394"/>
      <c r="M2" s="395" t="s">
        <v>202</v>
      </c>
      <c r="N2" s="395"/>
      <c r="O2" s="393" t="s">
        <v>203</v>
      </c>
      <c r="P2" s="394"/>
      <c r="Q2" s="395" t="s">
        <v>204</v>
      </c>
      <c r="R2" s="395"/>
      <c r="S2" s="393"/>
      <c r="T2" s="394"/>
      <c r="U2" s="393"/>
      <c r="V2" s="394"/>
      <c r="W2" s="393" t="s">
        <v>503</v>
      </c>
      <c r="X2" s="394"/>
      <c r="Y2" s="393" t="s">
        <v>515</v>
      </c>
      <c r="Z2" s="394"/>
      <c r="AA2" s="393"/>
      <c r="AB2" s="394"/>
      <c r="AC2" s="393" t="s">
        <v>202</v>
      </c>
      <c r="AD2" s="394"/>
      <c r="AE2" s="393" t="s">
        <v>203</v>
      </c>
      <c r="AF2" s="394"/>
    </row>
    <row r="3" spans="1:32" s="97" customFormat="1">
      <c r="A3" s="93"/>
      <c r="B3" s="93"/>
      <c r="C3" s="94"/>
      <c r="D3" s="95"/>
      <c r="E3" s="98"/>
      <c r="F3" s="369"/>
      <c r="G3" s="96"/>
      <c r="H3" s="96"/>
      <c r="I3" s="94"/>
      <c r="J3" s="95"/>
      <c r="K3" s="215"/>
      <c r="L3" s="216"/>
      <c r="M3" s="96"/>
      <c r="N3" s="96"/>
      <c r="O3" s="94"/>
      <c r="P3" s="95"/>
      <c r="Q3" s="96"/>
      <c r="R3" s="96"/>
      <c r="S3" s="98"/>
      <c r="T3" s="95"/>
      <c r="U3" s="94"/>
      <c r="V3" s="95"/>
      <c r="W3" s="94"/>
      <c r="X3" s="95"/>
      <c r="Y3" s="94"/>
      <c r="Z3" s="95"/>
      <c r="AA3" s="94"/>
      <c r="AB3" s="95"/>
      <c r="AC3" s="94"/>
      <c r="AD3" s="95"/>
      <c r="AE3" s="94"/>
      <c r="AF3" s="95"/>
    </row>
    <row r="4" spans="1:32">
      <c r="A4" s="72">
        <v>0</v>
      </c>
      <c r="B4" s="73" t="s">
        <v>205</v>
      </c>
      <c r="C4" s="74">
        <v>0</v>
      </c>
      <c r="D4" s="75" t="s">
        <v>161</v>
      </c>
      <c r="E4" s="99">
        <v>0</v>
      </c>
      <c r="F4" s="370" t="s">
        <v>206</v>
      </c>
      <c r="G4" s="76">
        <v>0</v>
      </c>
      <c r="H4" s="77" t="s">
        <v>71</v>
      </c>
      <c r="I4" s="78">
        <v>0</v>
      </c>
      <c r="J4" s="75" t="s">
        <v>206</v>
      </c>
      <c r="K4" s="74">
        <v>0</v>
      </c>
      <c r="L4" s="75" t="s">
        <v>175</v>
      </c>
      <c r="M4" s="76">
        <v>0</v>
      </c>
      <c r="N4" s="77" t="s">
        <v>206</v>
      </c>
      <c r="O4" s="74">
        <v>0</v>
      </c>
      <c r="P4" s="75" t="s">
        <v>207</v>
      </c>
      <c r="Q4" s="76">
        <v>0</v>
      </c>
      <c r="R4" s="77" t="s">
        <v>144</v>
      </c>
      <c r="S4" s="99">
        <v>0</v>
      </c>
      <c r="T4" s="75" t="s">
        <v>208</v>
      </c>
      <c r="U4" s="99">
        <v>0</v>
      </c>
      <c r="V4" s="75" t="s">
        <v>208</v>
      </c>
      <c r="W4" s="74">
        <v>0</v>
      </c>
      <c r="X4" s="75" t="s">
        <v>366</v>
      </c>
      <c r="Y4" s="74">
        <v>0</v>
      </c>
      <c r="Z4" s="75" t="s">
        <v>206</v>
      </c>
      <c r="AA4" s="74">
        <v>0</v>
      </c>
      <c r="AB4" s="75" t="s">
        <v>208</v>
      </c>
      <c r="AC4" s="74">
        <v>0</v>
      </c>
      <c r="AD4" s="75" t="s">
        <v>161</v>
      </c>
      <c r="AE4" s="74">
        <v>0</v>
      </c>
      <c r="AF4" s="75" t="s">
        <v>497</v>
      </c>
    </row>
    <row r="5" spans="1:32">
      <c r="A5" s="72">
        <v>1</v>
      </c>
      <c r="B5" s="73" t="s">
        <v>145</v>
      </c>
      <c r="C5" s="74">
        <v>1</v>
      </c>
      <c r="D5" s="75" t="s">
        <v>209</v>
      </c>
      <c r="E5" s="99"/>
      <c r="F5" s="370"/>
      <c r="G5" s="76">
        <v>1</v>
      </c>
      <c r="H5" s="77" t="s">
        <v>210</v>
      </c>
      <c r="I5" s="78">
        <v>1000</v>
      </c>
      <c r="J5" s="75" t="s">
        <v>314</v>
      </c>
      <c r="K5" s="74"/>
      <c r="L5" s="75"/>
      <c r="M5" s="76"/>
      <c r="N5" s="77"/>
      <c r="O5" s="74">
        <v>1</v>
      </c>
      <c r="P5" s="75" t="s">
        <v>211</v>
      </c>
      <c r="Q5" s="76">
        <v>1</v>
      </c>
      <c r="R5" s="77" t="s">
        <v>0</v>
      </c>
      <c r="S5" s="99">
        <v>1</v>
      </c>
      <c r="T5" s="75" t="s">
        <v>292</v>
      </c>
      <c r="U5" s="99">
        <v>1</v>
      </c>
      <c r="V5" s="75" t="s">
        <v>463</v>
      </c>
      <c r="W5" s="74">
        <v>1</v>
      </c>
      <c r="X5" s="75" t="s">
        <v>504</v>
      </c>
      <c r="Y5" s="74">
        <v>1000</v>
      </c>
      <c r="Z5" s="75" t="s">
        <v>369</v>
      </c>
      <c r="AA5" s="74">
        <v>1</v>
      </c>
      <c r="AB5" s="75" t="s">
        <v>473</v>
      </c>
      <c r="AC5" s="74"/>
      <c r="AD5" s="75"/>
      <c r="AE5" s="74">
        <v>1</v>
      </c>
      <c r="AF5" s="75" t="s">
        <v>498</v>
      </c>
    </row>
    <row r="6" spans="1:32">
      <c r="A6" s="72">
        <v>2</v>
      </c>
      <c r="B6" s="73" t="s">
        <v>71</v>
      </c>
      <c r="C6" s="74">
        <v>2</v>
      </c>
      <c r="D6" s="75" t="s">
        <v>160</v>
      </c>
      <c r="E6" s="99">
        <v>1001</v>
      </c>
      <c r="F6" s="371" t="s">
        <v>1756</v>
      </c>
      <c r="G6" s="76">
        <v>2</v>
      </c>
      <c r="H6" s="77" t="s">
        <v>212</v>
      </c>
      <c r="I6" s="78">
        <v>1001</v>
      </c>
      <c r="J6" s="75" t="s">
        <v>521</v>
      </c>
      <c r="K6" s="74">
        <v>1001</v>
      </c>
      <c r="L6" s="80" t="s">
        <v>208</v>
      </c>
      <c r="M6" s="76">
        <v>1000</v>
      </c>
      <c r="N6" s="77" t="s">
        <v>245</v>
      </c>
      <c r="O6" s="74">
        <v>2</v>
      </c>
      <c r="P6" s="75" t="s">
        <v>214</v>
      </c>
      <c r="Q6" s="76">
        <v>2</v>
      </c>
      <c r="R6" s="77" t="s">
        <v>72</v>
      </c>
      <c r="S6" s="99">
        <v>2</v>
      </c>
      <c r="T6" s="75" t="s">
        <v>223</v>
      </c>
      <c r="U6" s="99">
        <v>2</v>
      </c>
      <c r="V6" s="75" t="s">
        <v>464</v>
      </c>
      <c r="W6" s="74">
        <v>2</v>
      </c>
      <c r="X6" s="75" t="s">
        <v>367</v>
      </c>
      <c r="Y6" s="74">
        <v>1001</v>
      </c>
      <c r="Z6" s="75" t="s">
        <v>370</v>
      </c>
      <c r="AA6" s="74">
        <v>2</v>
      </c>
      <c r="AB6" s="75" t="s">
        <v>474</v>
      </c>
      <c r="AC6" s="74"/>
      <c r="AD6" s="75"/>
      <c r="AE6" s="74">
        <v>2</v>
      </c>
      <c r="AF6" s="75" t="s">
        <v>499</v>
      </c>
    </row>
    <row r="7" spans="1:32">
      <c r="A7" s="73"/>
      <c r="B7" s="73"/>
      <c r="C7" s="74">
        <v>3</v>
      </c>
      <c r="D7" s="75" t="s">
        <v>215</v>
      </c>
      <c r="E7" s="99">
        <v>1002</v>
      </c>
      <c r="F7" s="371" t="s">
        <v>216</v>
      </c>
      <c r="G7" s="77"/>
      <c r="H7" s="77"/>
      <c r="I7" s="78"/>
      <c r="J7" s="75"/>
      <c r="K7" s="74">
        <v>1500</v>
      </c>
      <c r="L7" s="75" t="s">
        <v>2109</v>
      </c>
      <c r="M7" s="76">
        <v>1001</v>
      </c>
      <c r="N7" s="77" t="s">
        <v>538</v>
      </c>
      <c r="O7" s="78"/>
      <c r="P7" s="75"/>
      <c r="Q7" s="76">
        <v>3</v>
      </c>
      <c r="R7" s="77" t="s">
        <v>53</v>
      </c>
      <c r="S7" s="99">
        <v>3</v>
      </c>
      <c r="T7" s="75" t="s">
        <v>462</v>
      </c>
      <c r="U7" s="99">
        <v>3</v>
      </c>
      <c r="V7" s="75" t="s">
        <v>465</v>
      </c>
      <c r="W7" s="74">
        <v>3</v>
      </c>
      <c r="X7" s="75" t="s">
        <v>505</v>
      </c>
      <c r="Y7" s="74">
        <v>1002</v>
      </c>
      <c r="Z7" s="75" t="s">
        <v>368</v>
      </c>
      <c r="AA7" s="74">
        <v>3</v>
      </c>
      <c r="AB7" s="75" t="s">
        <v>374</v>
      </c>
      <c r="AC7" s="74"/>
      <c r="AD7" s="75"/>
      <c r="AE7" s="74">
        <v>4</v>
      </c>
      <c r="AF7" s="75" t="s">
        <v>500</v>
      </c>
    </row>
    <row r="8" spans="1:32">
      <c r="A8" s="73"/>
      <c r="B8" s="73"/>
      <c r="C8" s="74">
        <v>4</v>
      </c>
      <c r="D8" s="75" t="s">
        <v>217</v>
      </c>
      <c r="E8" s="99">
        <v>1003</v>
      </c>
      <c r="F8" s="371" t="s">
        <v>218</v>
      </c>
      <c r="G8" s="77"/>
      <c r="H8" s="77"/>
      <c r="I8" s="78"/>
      <c r="J8" s="75"/>
      <c r="K8" s="79">
        <v>1002</v>
      </c>
      <c r="L8" s="75"/>
      <c r="M8" s="76">
        <v>1002</v>
      </c>
      <c r="N8" s="77" t="s">
        <v>539</v>
      </c>
      <c r="O8" s="78"/>
      <c r="P8" s="75"/>
      <c r="Q8" s="76">
        <v>4</v>
      </c>
      <c r="R8" s="77" t="s">
        <v>6</v>
      </c>
      <c r="S8" s="99">
        <v>4</v>
      </c>
      <c r="T8" s="75"/>
      <c r="U8" s="99">
        <v>4</v>
      </c>
      <c r="V8" s="75" t="s">
        <v>219</v>
      </c>
      <c r="W8" s="74">
        <v>4</v>
      </c>
      <c r="X8" s="75" t="s">
        <v>506</v>
      </c>
      <c r="Y8" s="74">
        <v>1003</v>
      </c>
      <c r="Z8" s="75" t="s">
        <v>516</v>
      </c>
      <c r="AA8" s="74">
        <v>4</v>
      </c>
      <c r="AB8" s="75"/>
      <c r="AC8" s="74"/>
      <c r="AD8" s="75"/>
      <c r="AE8" s="74">
        <v>6</v>
      </c>
      <c r="AF8" s="75" t="s">
        <v>501</v>
      </c>
    </row>
    <row r="9" spans="1:32">
      <c r="A9" s="73"/>
      <c r="B9" s="73"/>
      <c r="C9" s="74">
        <v>5</v>
      </c>
      <c r="D9" s="75" t="s">
        <v>220</v>
      </c>
      <c r="E9" s="99">
        <v>1004</v>
      </c>
      <c r="F9" s="371" t="s">
        <v>324</v>
      </c>
      <c r="G9" s="77"/>
      <c r="H9" s="77"/>
      <c r="I9" s="78"/>
      <c r="J9" s="75"/>
      <c r="K9" s="79">
        <v>1020</v>
      </c>
      <c r="L9" s="80"/>
      <c r="M9" s="76">
        <v>1003</v>
      </c>
      <c r="N9" s="77" t="s">
        <v>540</v>
      </c>
      <c r="O9" s="78"/>
      <c r="P9" s="75"/>
      <c r="Q9" s="76">
        <v>5</v>
      </c>
      <c r="R9" s="77" t="s">
        <v>222</v>
      </c>
      <c r="S9" s="99">
        <v>5</v>
      </c>
      <c r="T9" s="75"/>
      <c r="U9" s="99"/>
      <c r="V9" s="75"/>
      <c r="W9" s="74">
        <v>5</v>
      </c>
      <c r="X9" s="75" t="s">
        <v>507</v>
      </c>
      <c r="Y9" s="197">
        <v>1004</v>
      </c>
      <c r="Z9" s="198" t="s">
        <v>554</v>
      </c>
      <c r="AA9" s="74"/>
      <c r="AB9" s="75"/>
      <c r="AC9" s="74"/>
      <c r="AD9" s="75"/>
      <c r="AE9" s="74">
        <v>8</v>
      </c>
      <c r="AF9" s="75" t="s">
        <v>502</v>
      </c>
    </row>
    <row r="10" spans="1:32">
      <c r="A10" s="73"/>
      <c r="B10" s="72"/>
      <c r="C10" s="78"/>
      <c r="D10" s="75"/>
      <c r="E10" s="99">
        <v>1005</v>
      </c>
      <c r="F10" s="371" t="s">
        <v>221</v>
      </c>
      <c r="G10" s="77"/>
      <c r="H10" s="77"/>
      <c r="I10" s="78"/>
      <c r="J10" s="75"/>
      <c r="K10" s="79">
        <v>1022</v>
      </c>
      <c r="L10" s="80"/>
      <c r="M10" s="76">
        <v>1004</v>
      </c>
      <c r="N10" s="288" t="s">
        <v>541</v>
      </c>
      <c r="O10" s="78"/>
      <c r="P10" s="75"/>
      <c r="Q10" s="76">
        <v>6</v>
      </c>
      <c r="R10" s="77" t="s">
        <v>225</v>
      </c>
      <c r="S10" s="99">
        <v>6</v>
      </c>
      <c r="T10" s="75"/>
      <c r="U10" s="99"/>
      <c r="V10" s="75"/>
      <c r="W10" s="74">
        <v>6</v>
      </c>
      <c r="X10" s="75" t="s">
        <v>508</v>
      </c>
      <c r="Y10" s="197">
        <v>1005</v>
      </c>
      <c r="Z10" s="198" t="s">
        <v>593</v>
      </c>
      <c r="AA10" s="74"/>
      <c r="AB10" s="75"/>
      <c r="AC10" s="74"/>
      <c r="AD10" s="75"/>
      <c r="AE10" s="74"/>
      <c r="AF10" s="75"/>
    </row>
    <row r="11" spans="1:32">
      <c r="A11" s="73"/>
      <c r="B11" s="72"/>
      <c r="C11" s="78">
        <v>1001</v>
      </c>
      <c r="D11" s="75" t="s">
        <v>226</v>
      </c>
      <c r="E11" s="99">
        <v>1006</v>
      </c>
      <c r="F11" s="371">
        <v>1086</v>
      </c>
      <c r="G11" s="77"/>
      <c r="H11" s="77"/>
      <c r="I11" s="78"/>
      <c r="J11" s="75"/>
      <c r="K11" s="79">
        <v>1024</v>
      </c>
      <c r="L11" s="80"/>
      <c r="M11" s="289">
        <v>1005</v>
      </c>
      <c r="N11" s="288" t="s">
        <v>542</v>
      </c>
      <c r="O11" s="78"/>
      <c r="P11" s="75"/>
      <c r="Q11" s="76">
        <v>7</v>
      </c>
      <c r="R11" s="77" t="s">
        <v>169</v>
      </c>
      <c r="S11" s="99"/>
      <c r="T11" s="75"/>
      <c r="U11" s="99"/>
      <c r="V11" s="75"/>
      <c r="W11" s="74">
        <v>7</v>
      </c>
      <c r="X11" s="75" t="s">
        <v>509</v>
      </c>
      <c r="Y11" s="74"/>
      <c r="Z11" s="75"/>
      <c r="AA11" s="74"/>
      <c r="AB11" s="75"/>
      <c r="AC11" s="74"/>
      <c r="AD11" s="75"/>
      <c r="AE11" s="74"/>
      <c r="AF11" s="75"/>
    </row>
    <row r="12" spans="1:32">
      <c r="A12" s="73"/>
      <c r="B12" s="72"/>
      <c r="C12" s="78"/>
      <c r="D12" s="75"/>
      <c r="E12" s="99">
        <v>1007</v>
      </c>
      <c r="F12" s="371" t="s">
        <v>224</v>
      </c>
      <c r="G12" s="77"/>
      <c r="H12" s="77"/>
      <c r="I12" s="78"/>
      <c r="J12" s="75"/>
      <c r="K12" s="79">
        <v>1026</v>
      </c>
      <c r="L12" s="80"/>
      <c r="M12" s="289">
        <v>1006</v>
      </c>
      <c r="N12" s="288" t="s">
        <v>543</v>
      </c>
      <c r="O12" s="78"/>
      <c r="P12" s="75"/>
      <c r="Q12" s="76">
        <v>8</v>
      </c>
      <c r="R12" s="77" t="s">
        <v>171</v>
      </c>
      <c r="S12" s="99"/>
      <c r="T12" s="75"/>
      <c r="U12" s="99"/>
      <c r="V12" s="75"/>
      <c r="W12" s="74">
        <v>8</v>
      </c>
      <c r="X12" s="75" t="s">
        <v>510</v>
      </c>
      <c r="Y12" s="74"/>
      <c r="Z12" s="75"/>
      <c r="AA12" s="74"/>
      <c r="AB12" s="75"/>
      <c r="AC12" s="74"/>
      <c r="AD12" s="75"/>
      <c r="AE12" s="74"/>
      <c r="AF12" s="75"/>
    </row>
    <row r="13" spans="1:32">
      <c r="A13" s="73"/>
      <c r="B13" s="72"/>
      <c r="C13" s="78"/>
      <c r="D13" s="81"/>
      <c r="E13" s="99">
        <v>1008</v>
      </c>
      <c r="F13" s="371" t="s">
        <v>227</v>
      </c>
      <c r="G13" s="77"/>
      <c r="H13" s="77"/>
      <c r="I13" s="78"/>
      <c r="J13" s="75"/>
      <c r="K13" s="79">
        <v>1028</v>
      </c>
      <c r="L13" s="80"/>
      <c r="M13" s="289">
        <v>1007</v>
      </c>
      <c r="N13" s="288" t="s">
        <v>571</v>
      </c>
      <c r="O13" s="78"/>
      <c r="P13" s="75"/>
      <c r="Q13" s="76">
        <v>9</v>
      </c>
      <c r="R13" s="77" t="s">
        <v>178</v>
      </c>
      <c r="S13" s="99"/>
      <c r="T13" s="75"/>
      <c r="U13" s="99"/>
      <c r="V13" s="75"/>
      <c r="W13" s="74">
        <v>9</v>
      </c>
      <c r="X13" s="75" t="s">
        <v>511</v>
      </c>
      <c r="Y13" s="74"/>
      <c r="Z13" s="75"/>
      <c r="AA13" s="74"/>
      <c r="AB13" s="75"/>
      <c r="AC13" s="74"/>
      <c r="AD13" s="75"/>
      <c r="AE13" s="74"/>
      <c r="AF13" s="75"/>
    </row>
    <row r="14" spans="1:32">
      <c r="A14" s="73"/>
      <c r="B14" s="72"/>
      <c r="C14" s="78"/>
      <c r="D14" s="75"/>
      <c r="E14" s="99">
        <v>1009</v>
      </c>
      <c r="F14" s="371" t="s">
        <v>228</v>
      </c>
      <c r="G14" s="77"/>
      <c r="H14" s="77"/>
      <c r="I14" s="78"/>
      <c r="J14" s="75"/>
      <c r="K14" s="79">
        <v>1030</v>
      </c>
      <c r="L14" s="80" t="s">
        <v>2105</v>
      </c>
      <c r="M14" s="289">
        <v>1008</v>
      </c>
      <c r="N14" s="288" t="s">
        <v>597</v>
      </c>
      <c r="O14" s="78"/>
      <c r="P14" s="75"/>
      <c r="Q14" s="76">
        <v>10</v>
      </c>
      <c r="R14" s="77" t="s">
        <v>229</v>
      </c>
      <c r="S14" s="99"/>
      <c r="T14" s="75"/>
      <c r="U14" s="99"/>
      <c r="V14" s="75"/>
      <c r="W14" s="74">
        <v>10</v>
      </c>
      <c r="X14" s="75" t="s">
        <v>512</v>
      </c>
      <c r="Y14" s="74"/>
      <c r="Z14" s="75"/>
      <c r="AA14" s="74"/>
      <c r="AB14" s="75"/>
      <c r="AC14" s="74"/>
      <c r="AD14" s="75"/>
      <c r="AE14" s="74"/>
      <c r="AF14" s="75"/>
    </row>
    <row r="15" spans="1:32">
      <c r="A15" s="73"/>
      <c r="B15" s="72"/>
      <c r="C15" s="78"/>
      <c r="D15" s="81"/>
      <c r="E15" s="99">
        <v>1010</v>
      </c>
      <c r="F15" s="371" t="s">
        <v>142</v>
      </c>
      <c r="G15" s="77"/>
      <c r="H15" s="77"/>
      <c r="I15" s="78"/>
      <c r="J15" s="75"/>
      <c r="K15" s="79">
        <v>1041</v>
      </c>
      <c r="L15" s="80" t="s">
        <v>2153</v>
      </c>
      <c r="M15" s="214">
        <v>1009</v>
      </c>
      <c r="N15" s="199" t="s">
        <v>1452</v>
      </c>
      <c r="O15" s="78"/>
      <c r="P15" s="75"/>
      <c r="Q15" s="76">
        <v>11</v>
      </c>
      <c r="R15" s="77" t="s">
        <v>159</v>
      </c>
      <c r="S15" s="99"/>
      <c r="T15" s="75"/>
      <c r="U15" s="99"/>
      <c r="V15" s="75"/>
      <c r="W15" s="74">
        <v>11</v>
      </c>
      <c r="X15" s="75" t="s">
        <v>513</v>
      </c>
      <c r="Y15" s="74"/>
      <c r="Z15" s="75"/>
      <c r="AA15" s="74"/>
      <c r="AB15" s="75"/>
      <c r="AC15" s="74"/>
      <c r="AD15" s="75"/>
      <c r="AE15" s="74"/>
      <c r="AF15" s="75"/>
    </row>
    <row r="16" spans="1:32">
      <c r="A16" s="73"/>
      <c r="B16" s="72"/>
      <c r="C16" s="78"/>
      <c r="D16" s="75"/>
      <c r="E16" s="99">
        <v>1011</v>
      </c>
      <c r="F16" s="371" t="s">
        <v>140</v>
      </c>
      <c r="G16" s="77"/>
      <c r="H16" s="77"/>
      <c r="I16" s="78"/>
      <c r="J16" s="75"/>
      <c r="K16" s="79">
        <v>1040</v>
      </c>
      <c r="L16" s="80" t="s">
        <v>2099</v>
      </c>
      <c r="M16" s="214">
        <v>1010</v>
      </c>
      <c r="N16" s="199" t="s">
        <v>1453</v>
      </c>
      <c r="O16" s="78"/>
      <c r="P16" s="75"/>
      <c r="Q16" s="76">
        <v>12</v>
      </c>
      <c r="R16" s="77" t="s">
        <v>230</v>
      </c>
      <c r="S16" s="99"/>
      <c r="T16" s="75"/>
      <c r="U16" s="99"/>
      <c r="V16" s="75"/>
      <c r="W16" s="197">
        <v>12</v>
      </c>
      <c r="X16" s="198" t="s">
        <v>612</v>
      </c>
      <c r="Y16" s="74"/>
      <c r="Z16" s="75"/>
      <c r="AA16" s="74"/>
      <c r="AB16" s="75"/>
      <c r="AC16" s="74"/>
      <c r="AD16" s="75"/>
      <c r="AE16" s="74"/>
      <c r="AF16" s="75"/>
    </row>
    <row r="17" spans="1:32">
      <c r="A17" s="73"/>
      <c r="B17" s="72"/>
      <c r="C17" s="78"/>
      <c r="D17" s="81"/>
      <c r="E17" s="99">
        <v>1012</v>
      </c>
      <c r="F17" s="371" t="s">
        <v>141</v>
      </c>
      <c r="G17" s="77"/>
      <c r="H17" s="77"/>
      <c r="I17" s="78"/>
      <c r="J17" s="75"/>
      <c r="K17" s="79">
        <v>1042</v>
      </c>
      <c r="L17" s="80" t="s">
        <v>2100</v>
      </c>
      <c r="M17" s="214">
        <v>1011</v>
      </c>
      <c r="N17" s="199" t="s">
        <v>1454</v>
      </c>
      <c r="O17" s="78"/>
      <c r="P17" s="75"/>
      <c r="Q17" s="76">
        <v>13</v>
      </c>
      <c r="R17" s="77" t="s">
        <v>231</v>
      </c>
      <c r="S17" s="99"/>
      <c r="T17" s="75"/>
      <c r="U17" s="99"/>
      <c r="V17" s="75"/>
      <c r="W17" s="197">
        <v>13</v>
      </c>
      <c r="X17" s="198" t="s">
        <v>613</v>
      </c>
      <c r="Y17" s="74"/>
      <c r="Z17" s="75"/>
      <c r="AA17" s="74"/>
      <c r="AB17" s="75"/>
      <c r="AC17" s="74"/>
      <c r="AD17" s="75"/>
      <c r="AE17" s="74"/>
      <c r="AF17" s="75"/>
    </row>
    <row r="18" spans="1:32">
      <c r="A18" s="73"/>
      <c r="B18" s="72"/>
      <c r="C18" s="78"/>
      <c r="D18" s="75"/>
      <c r="E18" s="99">
        <v>1013</v>
      </c>
      <c r="F18" s="371">
        <v>3313</v>
      </c>
      <c r="G18" s="77"/>
      <c r="H18" s="77"/>
      <c r="I18" s="78"/>
      <c r="J18" s="75"/>
      <c r="K18" s="79">
        <v>1044</v>
      </c>
      <c r="L18" s="80" t="s">
        <v>2101</v>
      </c>
      <c r="M18" s="214">
        <v>1012</v>
      </c>
      <c r="N18" s="199" t="s">
        <v>1455</v>
      </c>
      <c r="O18" s="78"/>
      <c r="P18" s="75"/>
      <c r="Q18" s="76">
        <v>14</v>
      </c>
      <c r="R18" s="77" t="s">
        <v>232</v>
      </c>
      <c r="S18" s="99"/>
      <c r="T18" s="75"/>
      <c r="U18" s="99"/>
      <c r="V18" s="75"/>
      <c r="W18" s="197">
        <v>14</v>
      </c>
      <c r="X18" s="198" t="s">
        <v>1473</v>
      </c>
      <c r="Y18" s="74"/>
      <c r="Z18" s="75"/>
      <c r="AA18" s="74"/>
      <c r="AB18" s="75"/>
      <c r="AC18" s="74"/>
      <c r="AD18" s="75"/>
      <c r="AE18" s="74"/>
      <c r="AF18" s="75"/>
    </row>
    <row r="19" spans="1:32">
      <c r="A19" s="73"/>
      <c r="B19" s="72"/>
      <c r="C19" s="78"/>
      <c r="D19" s="75"/>
      <c r="E19" s="99">
        <v>1014</v>
      </c>
      <c r="F19" s="371" t="s">
        <v>139</v>
      </c>
      <c r="G19" s="77"/>
      <c r="H19" s="77"/>
      <c r="I19" s="78"/>
      <c r="J19" s="75"/>
      <c r="K19" s="79">
        <v>1043</v>
      </c>
      <c r="L19" s="80" t="s">
        <v>2102</v>
      </c>
      <c r="M19" s="214">
        <v>1013</v>
      </c>
      <c r="N19" s="199" t="s">
        <v>1456</v>
      </c>
      <c r="O19" s="78"/>
      <c r="P19" s="75"/>
      <c r="Q19" s="77"/>
      <c r="R19" s="77"/>
      <c r="S19" s="99"/>
      <c r="T19" s="75"/>
      <c r="U19" s="99"/>
      <c r="V19" s="75"/>
      <c r="W19" s="74"/>
      <c r="X19" s="75"/>
      <c r="Y19" s="74"/>
      <c r="Z19" s="75"/>
      <c r="AA19" s="74"/>
      <c r="AB19" s="75"/>
      <c r="AC19" s="74"/>
      <c r="AD19" s="75"/>
      <c r="AE19" s="74"/>
      <c r="AF19" s="75"/>
    </row>
    <row r="20" spans="1:32">
      <c r="A20" s="73"/>
      <c r="B20" s="72"/>
      <c r="C20" s="78"/>
      <c r="D20" s="75"/>
      <c r="E20" s="99">
        <v>1015</v>
      </c>
      <c r="F20" s="371" t="s">
        <v>371</v>
      </c>
      <c r="G20" s="77"/>
      <c r="H20" s="77"/>
      <c r="I20" s="78"/>
      <c r="J20" s="75"/>
      <c r="K20" s="79">
        <v>1120</v>
      </c>
      <c r="L20" s="80" t="s">
        <v>2103</v>
      </c>
      <c r="M20" s="214">
        <v>1014</v>
      </c>
      <c r="N20" s="199" t="s">
        <v>2052</v>
      </c>
      <c r="O20" s="78"/>
      <c r="P20" s="75"/>
      <c r="Q20" s="77"/>
      <c r="R20" s="77"/>
      <c r="S20" s="99"/>
      <c r="T20" s="75"/>
      <c r="U20" s="99"/>
      <c r="V20" s="75"/>
      <c r="W20" s="74"/>
      <c r="X20" s="75"/>
      <c r="Y20" s="74"/>
      <c r="Z20" s="75"/>
      <c r="AA20" s="74"/>
      <c r="AB20" s="75"/>
      <c r="AC20" s="74"/>
      <c r="AD20" s="75"/>
      <c r="AE20" s="74"/>
      <c r="AF20" s="75"/>
    </row>
    <row r="21" spans="1:32">
      <c r="A21" s="73"/>
      <c r="B21" s="72"/>
      <c r="C21" s="78"/>
      <c r="D21" s="81"/>
      <c r="E21" s="99">
        <v>1016</v>
      </c>
      <c r="F21" s="371" t="s">
        <v>1755</v>
      </c>
      <c r="G21" s="77"/>
      <c r="H21" s="77"/>
      <c r="I21" s="78"/>
      <c r="J21" s="75"/>
      <c r="K21" s="79">
        <v>1121</v>
      </c>
      <c r="L21" s="80" t="s">
        <v>2168</v>
      </c>
      <c r="M21" s="214">
        <v>1015</v>
      </c>
      <c r="N21" s="199" t="s">
        <v>1457</v>
      </c>
      <c r="O21" s="78"/>
      <c r="P21" s="75"/>
      <c r="Q21" s="77"/>
      <c r="R21" s="77"/>
      <c r="S21" s="99"/>
      <c r="T21" s="75"/>
      <c r="U21" s="99"/>
      <c r="V21" s="75"/>
      <c r="W21" s="74"/>
      <c r="X21" s="75"/>
      <c r="Y21" s="74"/>
      <c r="Z21" s="75"/>
      <c r="AA21" s="74"/>
      <c r="AB21" s="75"/>
      <c r="AC21" s="74"/>
      <c r="AD21" s="75"/>
      <c r="AE21" s="74"/>
      <c r="AF21" s="75"/>
    </row>
    <row r="22" spans="1:32">
      <c r="A22" s="73"/>
      <c r="B22" s="72"/>
      <c r="C22" s="78"/>
      <c r="D22" s="75"/>
      <c r="E22" s="99">
        <v>1017</v>
      </c>
      <c r="F22" s="371" t="s">
        <v>1757</v>
      </c>
      <c r="G22" s="77"/>
      <c r="H22" s="77"/>
      <c r="I22" s="78"/>
      <c r="J22" s="75"/>
      <c r="K22" s="79"/>
      <c r="L22" s="80"/>
      <c r="M22" s="214">
        <v>1016</v>
      </c>
      <c r="N22" s="199" t="s">
        <v>1458</v>
      </c>
      <c r="O22" s="78"/>
      <c r="P22" s="75"/>
      <c r="Q22" s="77"/>
      <c r="R22" s="77"/>
      <c r="S22" s="99"/>
      <c r="T22" s="75"/>
      <c r="U22" s="99"/>
      <c r="V22" s="75"/>
      <c r="W22" s="74"/>
      <c r="X22" s="75"/>
      <c r="Y22" s="74"/>
      <c r="Z22" s="75"/>
      <c r="AA22" s="74"/>
      <c r="AB22" s="75"/>
      <c r="AC22" s="74"/>
      <c r="AD22" s="75"/>
      <c r="AE22" s="74"/>
      <c r="AF22" s="75"/>
    </row>
    <row r="23" spans="1:32">
      <c r="A23" s="73"/>
      <c r="B23" s="72"/>
      <c r="C23" s="78"/>
      <c r="D23" s="75"/>
      <c r="E23" s="99"/>
      <c r="F23" s="372"/>
      <c r="G23" s="77"/>
      <c r="H23" s="77"/>
      <c r="I23" s="78"/>
      <c r="J23" s="75"/>
      <c r="K23" s="79"/>
      <c r="L23" s="80"/>
      <c r="M23" s="76">
        <v>1017</v>
      </c>
      <c r="N23" s="77" t="s">
        <v>1846</v>
      </c>
      <c r="O23" s="78"/>
      <c r="P23" s="75"/>
      <c r="Q23" s="77"/>
      <c r="R23" s="77"/>
      <c r="S23" s="99"/>
      <c r="T23" s="75"/>
      <c r="U23" s="99"/>
      <c r="V23" s="75"/>
      <c r="W23" s="74"/>
      <c r="X23" s="75"/>
      <c r="Y23" s="74"/>
      <c r="Z23" s="75"/>
      <c r="AA23" s="74"/>
      <c r="AB23" s="75"/>
      <c r="AC23" s="74"/>
      <c r="AD23" s="75"/>
      <c r="AE23" s="74"/>
      <c r="AF23" s="75"/>
    </row>
    <row r="24" spans="1:32">
      <c r="A24" s="73"/>
      <c r="B24" s="72"/>
      <c r="C24" s="78"/>
      <c r="D24" s="75"/>
      <c r="E24" s="99"/>
      <c r="F24" s="370"/>
      <c r="G24" s="77"/>
      <c r="H24" s="77"/>
      <c r="I24" s="78"/>
      <c r="J24" s="75"/>
      <c r="K24" s="79">
        <v>1080</v>
      </c>
      <c r="L24" s="80" t="s">
        <v>480</v>
      </c>
      <c r="M24" s="76">
        <v>1018</v>
      </c>
      <c r="N24" s="77" t="s">
        <v>2110</v>
      </c>
      <c r="O24" s="78"/>
      <c r="P24" s="75"/>
      <c r="Q24" s="77"/>
      <c r="R24" s="77"/>
      <c r="S24" s="99"/>
      <c r="T24" s="75"/>
      <c r="U24" s="99"/>
      <c r="V24" s="75"/>
      <c r="W24" s="74"/>
      <c r="X24" s="75"/>
      <c r="Y24" s="74"/>
      <c r="Z24" s="75"/>
      <c r="AA24" s="74"/>
      <c r="AB24" s="75"/>
      <c r="AC24" s="74"/>
      <c r="AD24" s="75"/>
      <c r="AE24" s="74"/>
      <c r="AF24" s="75"/>
    </row>
    <row r="25" spans="1:32">
      <c r="A25" s="73"/>
      <c r="B25" s="72"/>
      <c r="C25" s="78"/>
      <c r="D25" s="75"/>
      <c r="E25" s="99"/>
      <c r="F25" s="370"/>
      <c r="G25" s="77"/>
      <c r="H25" s="77"/>
      <c r="I25" s="78"/>
      <c r="J25" s="75"/>
      <c r="K25" s="79">
        <v>1081</v>
      </c>
      <c r="L25" s="80" t="s">
        <v>1759</v>
      </c>
      <c r="M25" s="76"/>
      <c r="N25" s="77"/>
      <c r="O25" s="78"/>
      <c r="P25" s="75"/>
      <c r="Q25" s="77"/>
      <c r="R25" s="77"/>
      <c r="S25" s="99"/>
      <c r="T25" s="75"/>
      <c r="U25" s="99"/>
      <c r="V25" s="75"/>
      <c r="W25" s="74"/>
      <c r="X25" s="75"/>
      <c r="Y25" s="74"/>
      <c r="Z25" s="75"/>
      <c r="AA25" s="74"/>
      <c r="AB25" s="75"/>
      <c r="AC25" s="74"/>
      <c r="AD25" s="75"/>
      <c r="AE25" s="74"/>
      <c r="AF25" s="75"/>
    </row>
    <row r="26" spans="1:32">
      <c r="A26" s="73"/>
      <c r="B26" s="72"/>
      <c r="C26" s="78"/>
      <c r="D26" s="75"/>
      <c r="E26" s="99"/>
      <c r="F26" s="370"/>
      <c r="G26" s="77"/>
      <c r="H26" s="77"/>
      <c r="I26" s="78"/>
      <c r="J26" s="75"/>
      <c r="K26" s="79">
        <v>1082</v>
      </c>
      <c r="L26" s="80" t="s">
        <v>481</v>
      </c>
      <c r="M26" s="76"/>
      <c r="N26" s="77"/>
      <c r="O26" s="78"/>
      <c r="P26" s="75"/>
      <c r="Q26" s="77"/>
      <c r="R26" s="77"/>
      <c r="S26" s="99"/>
      <c r="T26" s="75"/>
      <c r="U26" s="99"/>
      <c r="V26" s="75"/>
      <c r="W26" s="74"/>
      <c r="X26" s="75"/>
      <c r="Y26" s="74"/>
      <c r="Z26" s="75"/>
      <c r="AA26" s="74"/>
      <c r="AB26" s="75"/>
      <c r="AC26" s="74"/>
      <c r="AD26" s="75"/>
      <c r="AE26" s="74"/>
      <c r="AF26" s="75"/>
    </row>
    <row r="27" spans="1:32">
      <c r="E27" s="373"/>
      <c r="F27" s="370"/>
      <c r="I27" s="192"/>
      <c r="J27" s="193"/>
      <c r="K27" s="79">
        <v>1083</v>
      </c>
      <c r="L27" s="80" t="s">
        <v>1762</v>
      </c>
      <c r="V27" s="111"/>
      <c r="W27" s="399"/>
      <c r="X27" s="399"/>
      <c r="Y27" s="399"/>
      <c r="Z27" s="399"/>
      <c r="AA27" s="399"/>
      <c r="AB27" s="399"/>
      <c r="AC27" s="399"/>
      <c r="AD27" s="399"/>
      <c r="AE27" s="111"/>
    </row>
    <row r="28" spans="1:32">
      <c r="E28" s="374">
        <v>106</v>
      </c>
      <c r="F28" s="307">
        <v>4.4999999999999998E-2</v>
      </c>
      <c r="K28" s="79">
        <v>1084</v>
      </c>
      <c r="L28" s="80" t="s">
        <v>1763</v>
      </c>
    </row>
    <row r="29" spans="1:32">
      <c r="E29" s="374">
        <v>1067</v>
      </c>
      <c r="F29" s="307">
        <v>0.05</v>
      </c>
      <c r="K29" s="79">
        <v>1085</v>
      </c>
      <c r="L29" s="80" t="s">
        <v>1765</v>
      </c>
    </row>
    <row r="30" spans="1:32">
      <c r="E30" s="374">
        <v>1078</v>
      </c>
      <c r="F30" s="307">
        <v>0.06</v>
      </c>
      <c r="K30" s="79">
        <v>1086</v>
      </c>
      <c r="L30" s="80" t="s">
        <v>2108</v>
      </c>
    </row>
    <row r="31" spans="1:32">
      <c r="E31" s="374">
        <v>1080</v>
      </c>
      <c r="F31" s="307">
        <v>0.06</v>
      </c>
      <c r="K31" s="79"/>
      <c r="L31" s="80" t="s">
        <v>2186</v>
      </c>
    </row>
    <row r="32" spans="1:32">
      <c r="E32" s="375">
        <v>1081</v>
      </c>
      <c r="F32" s="307"/>
      <c r="K32" s="79"/>
      <c r="L32" s="80" t="s">
        <v>2187</v>
      </c>
    </row>
    <row r="33" spans="5:12">
      <c r="E33" s="375">
        <v>1086</v>
      </c>
      <c r="F33" s="307">
        <v>7.4999999999999997E-2</v>
      </c>
      <c r="K33" s="79">
        <v>1087</v>
      </c>
      <c r="L33" s="80" t="s">
        <v>2112</v>
      </c>
    </row>
    <row r="34" spans="5:12">
      <c r="E34" s="374">
        <v>1501</v>
      </c>
      <c r="F34" s="307">
        <v>0.15</v>
      </c>
      <c r="K34" s="79"/>
      <c r="L34" s="80" t="s">
        <v>2185</v>
      </c>
    </row>
    <row r="35" spans="5:12">
      <c r="E35" s="374">
        <v>1506</v>
      </c>
      <c r="F35" s="308">
        <v>0.15</v>
      </c>
      <c r="K35" s="79">
        <v>1088</v>
      </c>
      <c r="L35" s="80" t="s">
        <v>2166</v>
      </c>
    </row>
    <row r="36" spans="5:12">
      <c r="E36" s="375">
        <v>1652</v>
      </c>
      <c r="F36" s="308"/>
      <c r="K36" s="79"/>
      <c r="L36" s="80" t="s">
        <v>2188</v>
      </c>
    </row>
    <row r="37" spans="5:12">
      <c r="E37" s="375">
        <v>2113</v>
      </c>
      <c r="F37" s="308">
        <v>0.1</v>
      </c>
      <c r="K37" s="79">
        <v>1100</v>
      </c>
      <c r="L37" s="80" t="s">
        <v>1461</v>
      </c>
    </row>
    <row r="38" spans="5:12">
      <c r="E38" s="374">
        <v>2116</v>
      </c>
      <c r="F38" s="308">
        <v>0.1</v>
      </c>
      <c r="K38" s="79">
        <v>1101</v>
      </c>
      <c r="L38" s="80" t="s">
        <v>2161</v>
      </c>
    </row>
    <row r="39" spans="5:12">
      <c r="E39" s="375">
        <v>2313</v>
      </c>
      <c r="F39" s="308">
        <v>0.1</v>
      </c>
      <c r="K39" s="79">
        <v>1102</v>
      </c>
      <c r="L39" s="80" t="s">
        <v>1462</v>
      </c>
    </row>
    <row r="40" spans="5:12">
      <c r="E40" s="375">
        <v>3313</v>
      </c>
      <c r="F40" s="308">
        <v>0.1</v>
      </c>
      <c r="K40" s="79">
        <v>1103</v>
      </c>
      <c r="L40" s="80" t="s">
        <v>2178</v>
      </c>
    </row>
    <row r="41" spans="5:12">
      <c r="E41" s="374">
        <v>7628</v>
      </c>
      <c r="F41" s="308">
        <v>0.2</v>
      </c>
      <c r="K41" s="79">
        <v>1111</v>
      </c>
      <c r="L41" s="80" t="s">
        <v>1768</v>
      </c>
    </row>
    <row r="42" spans="5:12">
      <c r="E42" s="374">
        <v>1027</v>
      </c>
      <c r="F42" s="307">
        <v>3.5000000000000003E-2</v>
      </c>
      <c r="K42" s="79">
        <v>1112</v>
      </c>
      <c r="L42" s="80" t="s">
        <v>1770</v>
      </c>
    </row>
    <row r="43" spans="5:12">
      <c r="E43" s="374">
        <v>1037</v>
      </c>
      <c r="F43" s="307">
        <v>0.04</v>
      </c>
      <c r="K43" s="79">
        <v>1113</v>
      </c>
      <c r="L43" s="80" t="s">
        <v>1771</v>
      </c>
    </row>
    <row r="44" spans="5:12">
      <c r="E44" s="374">
        <v>7629</v>
      </c>
      <c r="F44" s="315">
        <v>0.2</v>
      </c>
      <c r="K44" s="79">
        <v>1114</v>
      </c>
      <c r="L44" s="80" t="s">
        <v>2028</v>
      </c>
    </row>
    <row r="45" spans="5:12">
      <c r="E45" s="376">
        <v>1017</v>
      </c>
      <c r="F45" s="307">
        <v>0.03</v>
      </c>
      <c r="K45" s="79"/>
      <c r="L45" s="80" t="s">
        <v>2190</v>
      </c>
    </row>
    <row r="46" spans="5:12">
      <c r="E46" s="376">
        <v>1035</v>
      </c>
      <c r="F46" s="307">
        <v>0.04</v>
      </c>
      <c r="K46" s="79">
        <v>1115</v>
      </c>
      <c r="L46" s="80" t="s">
        <v>2162</v>
      </c>
    </row>
    <row r="47" spans="5:12">
      <c r="E47" s="376"/>
      <c r="F47" s="307"/>
      <c r="K47" s="79">
        <v>1116</v>
      </c>
      <c r="L47" s="80" t="s">
        <v>2163</v>
      </c>
    </row>
    <row r="48" spans="5:12">
      <c r="E48" s="376"/>
      <c r="F48" s="307"/>
      <c r="K48" s="79">
        <v>1560</v>
      </c>
      <c r="L48" s="80" t="s">
        <v>1767</v>
      </c>
    </row>
    <row r="49" spans="5:19">
      <c r="E49" s="376"/>
      <c r="F49" s="307"/>
      <c r="K49" s="79">
        <v>1562</v>
      </c>
      <c r="L49" s="291" t="s">
        <v>2107</v>
      </c>
    </row>
    <row r="50" spans="5:19">
      <c r="E50" s="377"/>
      <c r="K50" s="79">
        <v>1563</v>
      </c>
      <c r="L50" s="291" t="s">
        <v>2164</v>
      </c>
    </row>
    <row r="51" spans="5:19">
      <c r="K51" s="79"/>
      <c r="L51" s="291" t="s">
        <v>2182</v>
      </c>
    </row>
    <row r="52" spans="5:19">
      <c r="K52" s="79"/>
      <c r="L52" s="291" t="s">
        <v>2181</v>
      </c>
    </row>
    <row r="53" spans="5:19">
      <c r="K53" s="79"/>
      <c r="L53" s="291" t="s">
        <v>2170</v>
      </c>
    </row>
    <row r="54" spans="5:19">
      <c r="K54" s="79"/>
      <c r="L54" s="291" t="s">
        <v>2171</v>
      </c>
    </row>
    <row r="55" spans="5:19">
      <c r="K55" s="79"/>
      <c r="L55" s="291" t="s">
        <v>2172</v>
      </c>
    </row>
    <row r="56" spans="5:19">
      <c r="K56" s="79"/>
      <c r="L56" s="291" t="s">
        <v>2173</v>
      </c>
    </row>
    <row r="57" spans="5:19" s="385" customFormat="1">
      <c r="E57" s="100"/>
      <c r="F57" s="100"/>
      <c r="K57" s="79"/>
      <c r="L57" s="291" t="s">
        <v>2237</v>
      </c>
      <c r="S57" s="100"/>
    </row>
    <row r="58" spans="5:19">
      <c r="K58" s="79"/>
      <c r="L58" s="80"/>
    </row>
    <row r="59" spans="5:19">
      <c r="K59" s="197">
        <v>1690</v>
      </c>
      <c r="L59" s="198" t="s">
        <v>592</v>
      </c>
    </row>
    <row r="60" spans="5:19">
      <c r="K60" s="197">
        <v>1691</v>
      </c>
      <c r="L60" s="198" t="s">
        <v>594</v>
      </c>
    </row>
    <row r="61" spans="5:19">
      <c r="K61" s="79"/>
      <c r="L61" s="80" t="s">
        <v>2229</v>
      </c>
    </row>
    <row r="62" spans="5:19">
      <c r="K62" s="79"/>
      <c r="L62" s="80" t="s">
        <v>2230</v>
      </c>
    </row>
    <row r="63" spans="5:19">
      <c r="K63" s="79"/>
      <c r="L63" s="290"/>
    </row>
    <row r="64" spans="5:19">
      <c r="K64" s="79"/>
      <c r="L64" s="291"/>
    </row>
    <row r="65" spans="11:12">
      <c r="K65" s="214">
        <v>1700</v>
      </c>
      <c r="L65" s="199" t="s">
        <v>544</v>
      </c>
    </row>
    <row r="66" spans="11:12">
      <c r="K66" s="214">
        <v>1701</v>
      </c>
      <c r="L66" s="199" t="s">
        <v>550</v>
      </c>
    </row>
    <row r="67" spans="11:12">
      <c r="K67" s="214">
        <v>1702</v>
      </c>
      <c r="L67" s="199" t="s">
        <v>552</v>
      </c>
    </row>
    <row r="68" spans="11:12">
      <c r="K68" s="214">
        <v>1703</v>
      </c>
      <c r="L68" s="199" t="s">
        <v>573</v>
      </c>
    </row>
    <row r="69" spans="11:12">
      <c r="K69" s="214">
        <v>1704</v>
      </c>
      <c r="L69" s="199" t="s">
        <v>555</v>
      </c>
    </row>
    <row r="70" spans="11:12">
      <c r="K70" s="214">
        <v>1705</v>
      </c>
      <c r="L70" s="199" t="s">
        <v>575</v>
      </c>
    </row>
    <row r="71" spans="11:12">
      <c r="K71" s="214">
        <v>1706</v>
      </c>
      <c r="L71" s="199" t="s">
        <v>577</v>
      </c>
    </row>
    <row r="72" spans="11:12">
      <c r="K72" s="214">
        <v>1707</v>
      </c>
      <c r="L72" s="199" t="s">
        <v>578</v>
      </c>
    </row>
    <row r="73" spans="11:12">
      <c r="K73" s="214">
        <v>1708</v>
      </c>
      <c r="L73" s="199" t="s">
        <v>557</v>
      </c>
    </row>
    <row r="74" spans="11:12">
      <c r="K74" s="214">
        <v>1709</v>
      </c>
      <c r="L74" s="199" t="s">
        <v>559</v>
      </c>
    </row>
    <row r="75" spans="11:12">
      <c r="K75" s="214">
        <v>1710</v>
      </c>
      <c r="L75" s="199" t="s">
        <v>562</v>
      </c>
    </row>
    <row r="76" spans="11:12">
      <c r="K76" s="214">
        <v>1711</v>
      </c>
      <c r="L76" s="199" t="s">
        <v>579</v>
      </c>
    </row>
    <row r="77" spans="11:12">
      <c r="K77" s="214">
        <v>1712</v>
      </c>
      <c r="L77" s="199" t="s">
        <v>564</v>
      </c>
    </row>
    <row r="78" spans="11:12">
      <c r="K78" s="214">
        <v>1713</v>
      </c>
      <c r="L78" s="199" t="s">
        <v>565</v>
      </c>
    </row>
    <row r="79" spans="11:12">
      <c r="K79" s="214">
        <v>1714</v>
      </c>
      <c r="L79" s="199" t="s">
        <v>566</v>
      </c>
    </row>
    <row r="80" spans="11:12">
      <c r="K80" s="214">
        <v>1715</v>
      </c>
      <c r="L80" s="199" t="s">
        <v>567</v>
      </c>
    </row>
    <row r="81" spans="11:12">
      <c r="K81" s="214">
        <v>1716</v>
      </c>
      <c r="L81" s="199" t="s">
        <v>572</v>
      </c>
    </row>
    <row r="82" spans="11:12">
      <c r="K82" s="214"/>
      <c r="L82" s="199" t="s">
        <v>568</v>
      </c>
    </row>
    <row r="83" spans="11:12">
      <c r="K83" s="214"/>
      <c r="L83" s="199" t="s">
        <v>570</v>
      </c>
    </row>
    <row r="84" spans="11:12">
      <c r="K84" s="214"/>
      <c r="L84" s="199" t="s">
        <v>2050</v>
      </c>
    </row>
    <row r="85" spans="11:12">
      <c r="K85" s="214"/>
      <c r="L85" s="199"/>
    </row>
    <row r="86" spans="11:12">
      <c r="K86" s="214">
        <v>1717</v>
      </c>
      <c r="L86" s="199" t="s">
        <v>595</v>
      </c>
    </row>
    <row r="87" spans="11:12">
      <c r="K87" s="214">
        <v>1718</v>
      </c>
      <c r="L87" s="199" t="s">
        <v>598</v>
      </c>
    </row>
    <row r="88" spans="11:12">
      <c r="K88" s="214">
        <v>1719</v>
      </c>
      <c r="L88" s="199" t="s">
        <v>600</v>
      </c>
    </row>
    <row r="89" spans="11:12">
      <c r="K89" s="214">
        <v>1720</v>
      </c>
      <c r="L89" s="199" t="s">
        <v>602</v>
      </c>
    </row>
    <row r="90" spans="11:12">
      <c r="K90" s="214"/>
      <c r="L90" s="199" t="s">
        <v>596</v>
      </c>
    </row>
    <row r="91" spans="11:12">
      <c r="K91" s="214"/>
      <c r="L91" s="199" t="s">
        <v>2051</v>
      </c>
    </row>
    <row r="92" spans="11:12">
      <c r="K92" s="214"/>
      <c r="L92" s="199"/>
    </row>
    <row r="93" spans="11:12">
      <c r="K93" s="214">
        <v>1721</v>
      </c>
      <c r="L93" s="199" t="s">
        <v>608</v>
      </c>
    </row>
    <row r="94" spans="11:12">
      <c r="K94" s="214">
        <v>1722</v>
      </c>
      <c r="L94" s="199" t="s">
        <v>2147</v>
      </c>
    </row>
    <row r="95" spans="11:12">
      <c r="K95" s="214">
        <v>1723</v>
      </c>
      <c r="L95" s="199" t="s">
        <v>2148</v>
      </c>
    </row>
    <row r="96" spans="11:12">
      <c r="K96" s="214">
        <v>1724</v>
      </c>
      <c r="L96" s="199" t="s">
        <v>1478</v>
      </c>
    </row>
    <row r="97" spans="11:12">
      <c r="K97" s="214"/>
      <c r="L97" s="199"/>
    </row>
    <row r="98" spans="11:12">
      <c r="K98" s="289"/>
      <c r="L98" s="288"/>
    </row>
    <row r="99" spans="11:12">
      <c r="K99" s="289"/>
      <c r="L99" s="288"/>
    </row>
    <row r="100" spans="11:12">
      <c r="K100" s="289"/>
      <c r="L100" s="288"/>
    </row>
    <row r="101" spans="11:12">
      <c r="K101" s="289"/>
      <c r="L101" s="288"/>
    </row>
    <row r="102" spans="11:12">
      <c r="K102" s="289"/>
      <c r="L102" s="288"/>
    </row>
    <row r="103" spans="11:12">
      <c r="K103" s="289"/>
      <c r="L103" s="288"/>
    </row>
  </sheetData>
  <mergeCells count="35">
    <mergeCell ref="AC1:AD1"/>
    <mergeCell ref="AE1:AF1"/>
    <mergeCell ref="AC2:AD2"/>
    <mergeCell ref="AE2:AF2"/>
    <mergeCell ref="W27:X27"/>
    <mergeCell ref="Y27:Z27"/>
    <mergeCell ref="AA27:AB27"/>
    <mergeCell ref="AC27:AD27"/>
    <mergeCell ref="AA1:AB1"/>
    <mergeCell ref="AA2:AB2"/>
    <mergeCell ref="W1:X1"/>
    <mergeCell ref="W2:X2"/>
    <mergeCell ref="Y1:Z1"/>
    <mergeCell ref="Y2:Z2"/>
    <mergeCell ref="M2:N2"/>
    <mergeCell ref="A1:B1"/>
    <mergeCell ref="C1:D1"/>
    <mergeCell ref="E1:F1"/>
    <mergeCell ref="G1:H1"/>
    <mergeCell ref="K1:L1"/>
    <mergeCell ref="M1:N1"/>
    <mergeCell ref="A2:B2"/>
    <mergeCell ref="C2:D2"/>
    <mergeCell ref="E2:F2"/>
    <mergeCell ref="G2:H2"/>
    <mergeCell ref="K2:L2"/>
    <mergeCell ref="I1:J1"/>
    <mergeCell ref="O2:P2"/>
    <mergeCell ref="Q2:R2"/>
    <mergeCell ref="S2:T2"/>
    <mergeCell ref="U2:V2"/>
    <mergeCell ref="O1:P1"/>
    <mergeCell ref="Q1:R1"/>
    <mergeCell ref="S1:T1"/>
    <mergeCell ref="U1:V1"/>
  </mergeCells>
  <conditionalFormatting sqref="E1:E1048576">
    <cfRule type="duplicateValues" dxfId="243" priority="8"/>
  </conditionalFormatting>
  <conditionalFormatting sqref="L22">
    <cfRule type="duplicateValues" dxfId="242" priority="7"/>
  </conditionalFormatting>
  <conditionalFormatting sqref="L23">
    <cfRule type="duplicateValues" dxfId="241" priority="6"/>
  </conditionalFormatting>
  <conditionalFormatting sqref="L32">
    <cfRule type="duplicateValues" dxfId="240" priority="4"/>
  </conditionalFormatting>
  <conditionalFormatting sqref="L31">
    <cfRule type="duplicateValues" dxfId="239" priority="3"/>
  </conditionalFormatting>
  <conditionalFormatting sqref="L36">
    <cfRule type="duplicateValues" dxfId="238" priority="2"/>
  </conditionalFormatting>
  <conditionalFormatting sqref="L1:L1048576">
    <cfRule type="duplicateValues" dxfId="237" priority="1"/>
  </conditionalFormatting>
  <pageMargins left="0.7" right="0.7" top="0.75" bottom="0.75" header="0.3" footer="0.3"/>
  <pageSetup orientation="portrait" r:id="rId1"/>
  <ignoredErrors>
    <ignoredError sqref="F6:F22" numberStoredAsText="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FF00"/>
  </sheetPr>
  <dimension ref="A3:F55"/>
  <sheetViews>
    <sheetView topLeftCell="A34" workbookViewId="0">
      <selection activeCell="G59" sqref="G58:G59"/>
    </sheetView>
  </sheetViews>
  <sheetFormatPr defaultRowHeight="12.75"/>
  <cols>
    <col min="1" max="1" width="13" customWidth="1"/>
    <col min="2" max="2" width="17.140625" customWidth="1"/>
    <col min="5" max="5" width="16.140625" customWidth="1"/>
    <col min="6" max="6" width="15.42578125" style="330" customWidth="1"/>
  </cols>
  <sheetData>
    <row r="3" spans="1:6" ht="29.25" customHeight="1">
      <c r="A3" s="331" t="s">
        <v>2053</v>
      </c>
      <c r="B3" s="325" t="s">
        <v>2054</v>
      </c>
      <c r="E3" s="322" t="s">
        <v>2057</v>
      </c>
      <c r="F3" s="328" t="s">
        <v>2058</v>
      </c>
    </row>
    <row r="4" spans="1:6" ht="15">
      <c r="A4" s="324" t="s">
        <v>2055</v>
      </c>
      <c r="B4" s="324" t="s">
        <v>2056</v>
      </c>
      <c r="E4" s="323" t="s">
        <v>2059</v>
      </c>
      <c r="F4" s="329" t="s">
        <v>2060</v>
      </c>
    </row>
    <row r="5" spans="1:6" ht="15">
      <c r="A5" s="332">
        <v>1037</v>
      </c>
      <c r="B5" s="326">
        <v>24</v>
      </c>
      <c r="E5" s="338" t="s">
        <v>2146</v>
      </c>
      <c r="F5" s="339">
        <v>1.43</v>
      </c>
    </row>
    <row r="6" spans="1:6" ht="15">
      <c r="A6" s="332">
        <v>1067</v>
      </c>
      <c r="B6" s="326">
        <v>31</v>
      </c>
      <c r="E6" s="338" t="s">
        <v>2075</v>
      </c>
      <c r="F6" s="339">
        <v>1.43</v>
      </c>
    </row>
    <row r="7" spans="1:6" ht="15">
      <c r="A7" s="332">
        <v>106</v>
      </c>
      <c r="B7" s="326">
        <v>25</v>
      </c>
      <c r="E7" s="338" t="s">
        <v>2061</v>
      </c>
      <c r="F7" s="339">
        <v>1.5</v>
      </c>
    </row>
    <row r="8" spans="1:6" ht="15">
      <c r="A8" s="332">
        <v>1080</v>
      </c>
      <c r="B8" s="326">
        <v>48</v>
      </c>
      <c r="E8" s="338" t="s">
        <v>2063</v>
      </c>
      <c r="F8" s="339">
        <v>1.5</v>
      </c>
    </row>
    <row r="9" spans="1:6" ht="15">
      <c r="A9" s="333">
        <v>1078</v>
      </c>
      <c r="B9" s="326">
        <v>47</v>
      </c>
      <c r="E9" s="338" t="s">
        <v>2064</v>
      </c>
      <c r="F9" s="339">
        <v>1.5</v>
      </c>
    </row>
    <row r="10" spans="1:6" ht="15">
      <c r="A10" s="333">
        <v>2116</v>
      </c>
      <c r="B10" s="326">
        <v>104.5</v>
      </c>
      <c r="E10" s="338" t="s">
        <v>2065</v>
      </c>
      <c r="F10" s="339">
        <v>1.5</v>
      </c>
    </row>
    <row r="11" spans="1:6" ht="15">
      <c r="A11" s="333">
        <v>7628</v>
      </c>
      <c r="B11" s="326">
        <v>203</v>
      </c>
      <c r="E11" s="338" t="s">
        <v>2067</v>
      </c>
      <c r="F11" s="339">
        <v>1.4</v>
      </c>
    </row>
    <row r="12" spans="1:6" ht="15">
      <c r="A12" s="332">
        <v>7629</v>
      </c>
      <c r="B12" s="326">
        <v>210</v>
      </c>
      <c r="E12" s="338" t="s">
        <v>2068</v>
      </c>
      <c r="F12" s="339">
        <v>1.5</v>
      </c>
    </row>
    <row r="13" spans="1:6" ht="15">
      <c r="A13" s="334">
        <v>1501</v>
      </c>
      <c r="B13" s="327">
        <v>165</v>
      </c>
      <c r="E13" s="338" t="s">
        <v>2069</v>
      </c>
      <c r="F13" s="339">
        <v>1.5</v>
      </c>
    </row>
    <row r="14" spans="1:6" ht="15">
      <c r="A14" s="335">
        <v>1506</v>
      </c>
      <c r="B14" s="326">
        <v>165</v>
      </c>
      <c r="E14" s="338" t="s">
        <v>2070</v>
      </c>
      <c r="F14" s="339">
        <v>1.5249999999999999</v>
      </c>
    </row>
    <row r="15" spans="1:6" ht="15">
      <c r="A15" s="335">
        <v>1027</v>
      </c>
      <c r="B15" s="326">
        <v>20</v>
      </c>
      <c r="E15" s="340" t="s">
        <v>2071</v>
      </c>
      <c r="F15" s="339">
        <v>1.407</v>
      </c>
    </row>
    <row r="16" spans="1:6" ht="15">
      <c r="A16" s="336">
        <v>3113</v>
      </c>
      <c r="B16" s="337">
        <v>85</v>
      </c>
      <c r="E16" s="338" t="s">
        <v>1754</v>
      </c>
      <c r="F16" s="339">
        <v>1.44</v>
      </c>
    </row>
    <row r="17" spans="1:6" ht="15">
      <c r="A17" s="336">
        <v>2313</v>
      </c>
      <c r="B17" s="337">
        <v>81</v>
      </c>
      <c r="E17" s="338" t="s">
        <v>2072</v>
      </c>
      <c r="F17" s="339">
        <v>1.55</v>
      </c>
    </row>
    <row r="18" spans="1:6" ht="15">
      <c r="A18" s="336">
        <v>1017</v>
      </c>
      <c r="B18" s="326">
        <v>13</v>
      </c>
      <c r="E18" s="338" t="s">
        <v>2073</v>
      </c>
      <c r="F18" s="339">
        <v>1.5</v>
      </c>
    </row>
    <row r="19" spans="1:6" ht="15">
      <c r="A19" s="336">
        <v>2113</v>
      </c>
      <c r="B19" s="326">
        <v>78</v>
      </c>
      <c r="E19" s="338" t="s">
        <v>1760</v>
      </c>
      <c r="F19" s="339">
        <v>1.44</v>
      </c>
    </row>
    <row r="20" spans="1:6" ht="15" customHeight="1">
      <c r="A20" s="336">
        <v>3313</v>
      </c>
      <c r="B20" s="326">
        <v>81</v>
      </c>
      <c r="E20" s="338" t="s">
        <v>2074</v>
      </c>
      <c r="F20" s="339">
        <v>1.3</v>
      </c>
    </row>
    <row r="21" spans="1:6" ht="15">
      <c r="A21" s="336">
        <v>1086</v>
      </c>
      <c r="B21" s="326">
        <v>53</v>
      </c>
      <c r="E21" s="338" t="s">
        <v>1459</v>
      </c>
      <c r="F21" s="339">
        <v>1.5</v>
      </c>
    </row>
    <row r="22" spans="1:6" ht="15" customHeight="1">
      <c r="A22" s="336">
        <v>1035</v>
      </c>
      <c r="B22" s="326"/>
      <c r="E22" s="338" t="s">
        <v>1460</v>
      </c>
      <c r="F22" s="339">
        <v>1.5</v>
      </c>
    </row>
    <row r="23" spans="1:6" ht="15" customHeight="1">
      <c r="E23" s="338" t="s">
        <v>2076</v>
      </c>
      <c r="F23" s="339">
        <v>1.45</v>
      </c>
    </row>
    <row r="24" spans="1:6" ht="15">
      <c r="E24" s="338" t="s">
        <v>1769</v>
      </c>
      <c r="F24" s="339">
        <v>1.3879999999999999</v>
      </c>
    </row>
    <row r="25" spans="1:6" ht="15" customHeight="1">
      <c r="E25" s="338" t="s">
        <v>2077</v>
      </c>
      <c r="F25" s="339">
        <v>1.41</v>
      </c>
    </row>
    <row r="26" spans="1:6" ht="15" customHeight="1">
      <c r="E26" s="338" t="s">
        <v>2078</v>
      </c>
      <c r="F26" s="339">
        <v>1.42</v>
      </c>
    </row>
    <row r="27" spans="1:6" ht="14.25" customHeight="1">
      <c r="E27" s="338" t="s">
        <v>2081</v>
      </c>
      <c r="F27" s="339">
        <v>1.528</v>
      </c>
    </row>
    <row r="28" spans="1:6" ht="15" customHeight="1">
      <c r="E28" s="338" t="s">
        <v>2066</v>
      </c>
      <c r="F28" s="339">
        <v>1.4</v>
      </c>
    </row>
    <row r="29" spans="1:6" ht="15" customHeight="1">
      <c r="E29" s="338" t="s">
        <v>2062</v>
      </c>
      <c r="F29" s="339">
        <v>1.5</v>
      </c>
    </row>
    <row r="30" spans="1:6" ht="15" customHeight="1">
      <c r="E30" s="338" t="s">
        <v>2029</v>
      </c>
      <c r="F30" s="339">
        <v>1.5</v>
      </c>
    </row>
    <row r="31" spans="1:6" ht="15" customHeight="1">
      <c r="E31" s="338" t="s">
        <v>2079</v>
      </c>
      <c r="F31" s="339">
        <v>1.5</v>
      </c>
    </row>
    <row r="32" spans="1:6" ht="15" customHeight="1">
      <c r="E32" s="338" t="s">
        <v>1764</v>
      </c>
      <c r="F32" s="339">
        <v>1.39</v>
      </c>
    </row>
    <row r="33" spans="5:6" ht="15" customHeight="1">
      <c r="E33" s="341" t="s">
        <v>2080</v>
      </c>
      <c r="F33" s="339">
        <v>1.55</v>
      </c>
    </row>
    <row r="34" spans="5:6" ht="15">
      <c r="E34" s="342" t="s">
        <v>2082</v>
      </c>
      <c r="F34" s="343">
        <v>1.3</v>
      </c>
    </row>
    <row r="35" spans="5:6" ht="15">
      <c r="E35" s="341" t="s">
        <v>2083</v>
      </c>
      <c r="F35" s="339">
        <v>1.56</v>
      </c>
    </row>
    <row r="36" spans="5:6" ht="15">
      <c r="E36" s="341" t="s">
        <v>1766</v>
      </c>
      <c r="F36" s="339">
        <v>1.46</v>
      </c>
    </row>
    <row r="37" spans="5:6" ht="15">
      <c r="E37" s="341" t="s">
        <v>2084</v>
      </c>
      <c r="F37" s="339">
        <v>1.59</v>
      </c>
    </row>
    <row r="38" spans="5:6" ht="15">
      <c r="E38" s="344" t="s">
        <v>2085</v>
      </c>
      <c r="F38" s="339">
        <v>1.57</v>
      </c>
    </row>
    <row r="39" spans="5:6" ht="15">
      <c r="E39" s="338" t="s">
        <v>2086</v>
      </c>
      <c r="F39" s="339">
        <v>1.75</v>
      </c>
    </row>
    <row r="40" spans="5:6" ht="15">
      <c r="E40" s="345" t="s">
        <v>1758</v>
      </c>
      <c r="F40" s="346">
        <v>1.39</v>
      </c>
    </row>
    <row r="41" spans="5:6" ht="15">
      <c r="E41" s="345" t="s">
        <v>2111</v>
      </c>
      <c r="F41" s="347">
        <v>1.38</v>
      </c>
    </row>
    <row r="42" spans="5:6" ht="15">
      <c r="E42" s="345" t="s">
        <v>2160</v>
      </c>
      <c r="F42" s="347">
        <v>1.47</v>
      </c>
    </row>
    <row r="43" spans="5:6" ht="15">
      <c r="E43" s="345" t="s">
        <v>2165</v>
      </c>
      <c r="F43" s="347">
        <v>1.52</v>
      </c>
    </row>
    <row r="44" spans="5:6" ht="15">
      <c r="E44" s="345" t="s">
        <v>2167</v>
      </c>
      <c r="F44" s="347">
        <v>1.5</v>
      </c>
    </row>
    <row r="45" spans="5:6" ht="15">
      <c r="E45" s="345" t="s">
        <v>2169</v>
      </c>
      <c r="F45" s="347">
        <v>1.4</v>
      </c>
    </row>
    <row r="46" spans="5:6" ht="15">
      <c r="E46" s="345" t="s">
        <v>2174</v>
      </c>
      <c r="F46" s="347">
        <v>1.4</v>
      </c>
    </row>
    <row r="47" spans="5:6" ht="15">
      <c r="E47" s="345" t="s">
        <v>2175</v>
      </c>
      <c r="F47" s="347">
        <v>1.49</v>
      </c>
    </row>
    <row r="48" spans="5:6" ht="15">
      <c r="E48" s="345" t="s">
        <v>2177</v>
      </c>
      <c r="F48" s="347">
        <v>1.59</v>
      </c>
    </row>
    <row r="49" spans="5:6" ht="15">
      <c r="E49" s="345" t="s">
        <v>2179</v>
      </c>
      <c r="F49" s="347">
        <v>1.6</v>
      </c>
    </row>
    <row r="50" spans="5:6" ht="15">
      <c r="E50" s="345" t="s">
        <v>2180</v>
      </c>
      <c r="F50" s="347">
        <v>1.58</v>
      </c>
    </row>
    <row r="51" spans="5:6" ht="15">
      <c r="E51" s="367" t="s">
        <v>2183</v>
      </c>
      <c r="F51" s="347">
        <v>1.59</v>
      </c>
    </row>
    <row r="52" spans="5:6" ht="15">
      <c r="E52" s="368" t="s">
        <v>2184</v>
      </c>
      <c r="F52" s="347">
        <v>1.46</v>
      </c>
    </row>
    <row r="53" spans="5:6" ht="15">
      <c r="E53" s="338" t="s">
        <v>2189</v>
      </c>
      <c r="F53" s="378">
        <v>1.48</v>
      </c>
    </row>
    <row r="54" spans="5:6" ht="15">
      <c r="E54" s="338" t="s">
        <v>2230</v>
      </c>
      <c r="F54" s="378">
        <v>1.51</v>
      </c>
    </row>
    <row r="55" spans="5:6" ht="15">
      <c r="E55" s="338" t="s">
        <v>2238</v>
      </c>
      <c r="F55" s="339">
        <v>1.4</v>
      </c>
    </row>
  </sheetData>
  <conditionalFormatting sqref="E5:E50">
    <cfRule type="duplicateValues" dxfId="236" priority="10"/>
  </conditionalFormatting>
  <conditionalFormatting sqref="A5:A22">
    <cfRule type="duplicateValues" dxfId="235" priority="9"/>
  </conditionalFormatting>
  <conditionalFormatting sqref="E51">
    <cfRule type="duplicateValues" dxfId="234" priority="8"/>
  </conditionalFormatting>
  <conditionalFormatting sqref="E1:E54 E56:E1048576">
    <cfRule type="duplicateValues" dxfId="233" priority="7"/>
  </conditionalFormatting>
  <conditionalFormatting sqref="A1:A1048576">
    <cfRule type="duplicateValues" dxfId="232" priority="6"/>
  </conditionalFormatting>
  <conditionalFormatting sqref="E53:E54">
    <cfRule type="duplicateValues" dxfId="231" priority="5"/>
  </conditionalFormatting>
  <conditionalFormatting sqref="E55">
    <cfRule type="duplicateValues" dxfId="230" priority="2"/>
  </conditionalFormatting>
  <conditionalFormatting sqref="E55">
    <cfRule type="duplicateValues" dxfId="229"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34"/>
  <sheetViews>
    <sheetView zoomScale="85" zoomScaleNormal="85" workbookViewId="0">
      <selection activeCell="P11" sqref="P11"/>
    </sheetView>
  </sheetViews>
  <sheetFormatPr defaultRowHeight="12.75"/>
  <cols>
    <col min="1" max="1" width="23" style="1" bestFit="1" customWidth="1"/>
    <col min="2" max="2" width="43.5703125" style="1" bestFit="1" customWidth="1"/>
    <col min="3" max="3" width="13.28515625" style="1" customWidth="1"/>
    <col min="4" max="6" width="9.140625" style="1" customWidth="1"/>
    <col min="7" max="7" width="9.140625" style="1" hidden="1" customWidth="1"/>
    <col min="8" max="8" width="12.5703125" style="1" hidden="1" customWidth="1"/>
    <col min="9" max="9" width="20.42578125" style="1" hidden="1" customWidth="1"/>
    <col min="10" max="10" width="9.140625" style="1" hidden="1" customWidth="1"/>
    <col min="11" max="11" width="42.5703125" style="1" hidden="1" customWidth="1"/>
    <col min="12" max="12" width="9.140625" style="1" hidden="1" customWidth="1"/>
    <col min="13" max="13" width="9.140625" style="1" customWidth="1"/>
    <col min="14" max="16384" width="9.140625" style="1"/>
  </cols>
  <sheetData>
    <row r="1" spans="1:11">
      <c r="A1" s="34" t="s">
        <v>1</v>
      </c>
      <c r="B1" s="34" t="s">
        <v>2</v>
      </c>
      <c r="C1" s="34" t="s">
        <v>3</v>
      </c>
      <c r="H1" s="34" t="s">
        <v>4</v>
      </c>
      <c r="I1" s="34" t="s">
        <v>5</v>
      </c>
      <c r="K1" s="1" t="s">
        <v>7</v>
      </c>
    </row>
    <row r="2" spans="1:11" s="102" customFormat="1">
      <c r="A2" s="101" t="s">
        <v>49</v>
      </c>
      <c r="B2" s="101" t="s">
        <v>26</v>
      </c>
      <c r="C2" s="101" t="s">
        <v>122</v>
      </c>
      <c r="H2" s="102" t="s">
        <v>122</v>
      </c>
      <c r="I2" s="102">
        <v>1000</v>
      </c>
      <c r="K2" s="102" t="s">
        <v>50</v>
      </c>
    </row>
    <row r="3" spans="1:11" s="102" customFormat="1">
      <c r="A3" s="101" t="s">
        <v>49</v>
      </c>
      <c r="B3" s="101" t="s">
        <v>27</v>
      </c>
      <c r="C3" s="101" t="s">
        <v>122</v>
      </c>
      <c r="H3" s="102" t="s">
        <v>123</v>
      </c>
      <c r="I3" s="102">
        <v>1</v>
      </c>
      <c r="K3" s="102" t="s">
        <v>21</v>
      </c>
    </row>
    <row r="4" spans="1:11" s="102" customFormat="1">
      <c r="A4" s="101" t="s">
        <v>49</v>
      </c>
      <c r="B4" s="101" t="s">
        <v>16</v>
      </c>
      <c r="C4" s="183" t="s">
        <v>124</v>
      </c>
      <c r="H4" s="102" t="s">
        <v>124</v>
      </c>
      <c r="I4" s="102">
        <v>28.349499999999999</v>
      </c>
      <c r="K4" s="102" t="s">
        <v>278</v>
      </c>
    </row>
    <row r="5" spans="1:11" s="102" customFormat="1">
      <c r="A5" s="101" t="s">
        <v>49</v>
      </c>
      <c r="B5" s="101" t="s">
        <v>17</v>
      </c>
      <c r="C5" s="101" t="s">
        <v>126</v>
      </c>
      <c r="H5" s="102" t="s">
        <v>125</v>
      </c>
      <c r="I5" s="102">
        <v>1</v>
      </c>
      <c r="K5" s="102" t="s">
        <v>412</v>
      </c>
    </row>
    <row r="6" spans="1:11" s="102" customFormat="1">
      <c r="A6" s="101" t="s">
        <v>49</v>
      </c>
      <c r="B6" s="101" t="s">
        <v>18</v>
      </c>
      <c r="C6" s="101" t="s">
        <v>126</v>
      </c>
      <c r="H6" s="102" t="s">
        <v>126</v>
      </c>
      <c r="I6" s="102">
        <v>25.4</v>
      </c>
      <c r="K6" s="102" t="s">
        <v>409</v>
      </c>
    </row>
    <row r="7" spans="1:11" s="102" customFormat="1">
      <c r="A7" s="101" t="s">
        <v>49</v>
      </c>
      <c r="B7" s="101" t="s">
        <v>19</v>
      </c>
      <c r="C7" s="101" t="s">
        <v>126</v>
      </c>
      <c r="H7" s="103" t="s">
        <v>127</v>
      </c>
      <c r="I7" s="103">
        <v>39.369999999999997</v>
      </c>
      <c r="K7" s="102" t="s">
        <v>30</v>
      </c>
    </row>
    <row r="8" spans="1:11" s="102" customFormat="1">
      <c r="A8" s="101" t="s">
        <v>49</v>
      </c>
      <c r="B8" s="101" t="s">
        <v>265</v>
      </c>
      <c r="C8" s="183" t="s">
        <v>126</v>
      </c>
      <c r="H8" s="102" t="s">
        <v>84</v>
      </c>
      <c r="K8" s="102" t="s">
        <v>20</v>
      </c>
    </row>
    <row r="9" spans="1:11" s="102" customFormat="1">
      <c r="A9" s="101" t="s">
        <v>49</v>
      </c>
      <c r="B9" s="101" t="s">
        <v>266</v>
      </c>
      <c r="C9" s="183" t="s">
        <v>126</v>
      </c>
      <c r="H9" s="102" t="s">
        <v>85</v>
      </c>
      <c r="I9" s="103"/>
      <c r="K9" s="102" t="s">
        <v>10</v>
      </c>
    </row>
    <row r="10" spans="1:11" s="102" customFormat="1">
      <c r="A10" s="104" t="s">
        <v>41</v>
      </c>
      <c r="B10" s="104" t="s">
        <v>26</v>
      </c>
      <c r="C10" s="104" t="s">
        <v>122</v>
      </c>
      <c r="K10" s="102" t="s">
        <v>279</v>
      </c>
    </row>
    <row r="11" spans="1:11" s="102" customFormat="1">
      <c r="A11" s="104" t="s">
        <v>41</v>
      </c>
      <c r="B11" s="104" t="s">
        <v>27</v>
      </c>
      <c r="C11" s="104" t="s">
        <v>122</v>
      </c>
      <c r="H11" s="111" t="s">
        <v>323</v>
      </c>
      <c r="K11" s="102" t="s">
        <v>1481</v>
      </c>
    </row>
    <row r="12" spans="1:11" s="102" customFormat="1">
      <c r="A12" s="104" t="s">
        <v>41</v>
      </c>
      <c r="B12" s="104" t="s">
        <v>48</v>
      </c>
      <c r="C12" s="180" t="s">
        <v>127</v>
      </c>
      <c r="K12" s="102" t="s">
        <v>1482</v>
      </c>
    </row>
    <row r="13" spans="1:11" s="102" customFormat="1">
      <c r="A13" s="104" t="s">
        <v>41</v>
      </c>
      <c r="B13" s="104" t="s">
        <v>11</v>
      </c>
      <c r="C13" s="180" t="s">
        <v>126</v>
      </c>
      <c r="K13" s="102" t="s">
        <v>1483</v>
      </c>
    </row>
    <row r="14" spans="1:11" s="102" customFormat="1">
      <c r="A14" s="104" t="s">
        <v>41</v>
      </c>
      <c r="B14" s="104" t="s">
        <v>12</v>
      </c>
      <c r="C14" s="180" t="s">
        <v>126</v>
      </c>
      <c r="K14" s="102" t="s">
        <v>1484</v>
      </c>
    </row>
    <row r="15" spans="1:11" s="102" customFormat="1">
      <c r="A15" s="104" t="s">
        <v>41</v>
      </c>
      <c r="B15" s="104" t="s">
        <v>46</v>
      </c>
      <c r="C15" s="180" t="s">
        <v>127</v>
      </c>
      <c r="K15" s="102" t="s">
        <v>421</v>
      </c>
    </row>
    <row r="16" spans="1:11" s="102" customFormat="1">
      <c r="A16" s="104" t="s">
        <v>41</v>
      </c>
      <c r="B16" s="104" t="s">
        <v>14</v>
      </c>
      <c r="C16" s="104" t="s">
        <v>85</v>
      </c>
      <c r="K16" s="102" t="s">
        <v>31</v>
      </c>
    </row>
    <row r="17" spans="1:11" s="102" customFormat="1">
      <c r="A17" s="104" t="s">
        <v>41</v>
      </c>
      <c r="B17" s="104" t="s">
        <v>15</v>
      </c>
      <c r="C17" s="104" t="s">
        <v>85</v>
      </c>
      <c r="K17" s="102" t="s">
        <v>35</v>
      </c>
    </row>
    <row r="18" spans="1:11" s="102" customFormat="1">
      <c r="A18" s="104" t="s">
        <v>41</v>
      </c>
      <c r="B18" s="104" t="s">
        <v>355</v>
      </c>
      <c r="C18" s="180" t="str">
        <f>C12</f>
        <v>mm</v>
      </c>
      <c r="K18" s="102" t="s">
        <v>15</v>
      </c>
    </row>
    <row r="19" spans="1:11" s="102" customFormat="1">
      <c r="A19" s="104" t="s">
        <v>41</v>
      </c>
      <c r="B19" s="104" t="s">
        <v>47</v>
      </c>
      <c r="C19" s="180" t="str">
        <f>C12</f>
        <v>mm</v>
      </c>
      <c r="K19" s="102" t="s">
        <v>14</v>
      </c>
    </row>
    <row r="20" spans="1:11" s="102" customFormat="1">
      <c r="A20" s="104" t="s">
        <v>41</v>
      </c>
      <c r="B20" s="104" t="s">
        <v>118</v>
      </c>
      <c r="C20" s="180" t="str">
        <f>C12</f>
        <v>mm</v>
      </c>
      <c r="K20" s="102" t="s">
        <v>1485</v>
      </c>
    </row>
    <row r="21" spans="1:11" s="102" customFormat="1">
      <c r="A21" s="104" t="s">
        <v>41</v>
      </c>
      <c r="B21" s="104" t="s">
        <v>1481</v>
      </c>
      <c r="C21" s="104" t="s">
        <v>127</v>
      </c>
      <c r="K21" s="102" t="s">
        <v>287</v>
      </c>
    </row>
    <row r="22" spans="1:11" s="102" customFormat="1">
      <c r="A22" s="105" t="s">
        <v>42</v>
      </c>
      <c r="B22" s="105" t="s">
        <v>26</v>
      </c>
      <c r="C22" s="106" t="s">
        <v>122</v>
      </c>
      <c r="K22" s="102" t="s">
        <v>446</v>
      </c>
    </row>
    <row r="23" spans="1:11" s="102" customFormat="1">
      <c r="A23" s="105" t="s">
        <v>42</v>
      </c>
      <c r="B23" s="105" t="s">
        <v>27</v>
      </c>
      <c r="C23" s="106" t="s">
        <v>122</v>
      </c>
      <c r="K23" s="102" t="s">
        <v>448</v>
      </c>
    </row>
    <row r="24" spans="1:11" s="102" customFormat="1">
      <c r="A24" s="105" t="s">
        <v>42</v>
      </c>
      <c r="B24" s="105" t="s">
        <v>31</v>
      </c>
      <c r="C24" s="183" t="s">
        <v>124</v>
      </c>
      <c r="K24" s="102" t="s">
        <v>447</v>
      </c>
    </row>
    <row r="25" spans="1:11" s="102" customFormat="1">
      <c r="A25" s="105" t="s">
        <v>42</v>
      </c>
      <c r="B25" s="105" t="s">
        <v>35</v>
      </c>
      <c r="C25" s="183" t="s">
        <v>124</v>
      </c>
      <c r="K25" s="102" t="s">
        <v>375</v>
      </c>
    </row>
    <row r="26" spans="1:11" s="102" customFormat="1">
      <c r="A26" s="105" t="s">
        <v>42</v>
      </c>
      <c r="B26" s="105" t="s">
        <v>15</v>
      </c>
      <c r="C26" s="105" t="s">
        <v>85</v>
      </c>
      <c r="K26" s="102" t="s">
        <v>381</v>
      </c>
    </row>
    <row r="27" spans="1:11" s="102" customFormat="1">
      <c r="A27" s="105" t="s">
        <v>42</v>
      </c>
      <c r="B27" s="105" t="s">
        <v>14</v>
      </c>
      <c r="C27" s="105" t="s">
        <v>85</v>
      </c>
      <c r="K27" s="102" t="s">
        <v>376</v>
      </c>
    </row>
    <row r="28" spans="1:11" s="102" customFormat="1">
      <c r="A28" s="105" t="s">
        <v>42</v>
      </c>
      <c r="B28" s="105" t="s">
        <v>32</v>
      </c>
      <c r="C28" s="106" t="str">
        <f>IF(CORE!$E$2="Imperial","mil","micron")</f>
        <v>micron</v>
      </c>
      <c r="K28" s="102" t="s">
        <v>377</v>
      </c>
    </row>
    <row r="29" spans="1:11" s="102" customFormat="1">
      <c r="A29" s="105" t="s">
        <v>42</v>
      </c>
      <c r="B29" s="105" t="s">
        <v>33</v>
      </c>
      <c r="C29" s="181" t="str">
        <f>C28</f>
        <v>micron</v>
      </c>
      <c r="K29" s="102" t="s">
        <v>378</v>
      </c>
    </row>
    <row r="30" spans="1:11" s="102" customFormat="1">
      <c r="A30" s="105" t="s">
        <v>42</v>
      </c>
      <c r="B30" s="105" t="s">
        <v>34</v>
      </c>
      <c r="C30" s="181" t="str">
        <f>C28</f>
        <v>micron</v>
      </c>
      <c r="K30" s="102" t="s">
        <v>379</v>
      </c>
    </row>
    <row r="31" spans="1:11" s="102" customFormat="1">
      <c r="A31" s="105" t="s">
        <v>42</v>
      </c>
      <c r="B31" s="105" t="s">
        <v>36</v>
      </c>
      <c r="C31" s="181" t="str">
        <f>C28</f>
        <v>micron</v>
      </c>
      <c r="K31" s="102" t="s">
        <v>380</v>
      </c>
    </row>
    <row r="32" spans="1:11" s="102" customFormat="1">
      <c r="A32" s="105" t="s">
        <v>42</v>
      </c>
      <c r="B32" s="105" t="s">
        <v>37</v>
      </c>
      <c r="C32" s="181" t="str">
        <f>C31</f>
        <v>micron</v>
      </c>
      <c r="K32" s="102" t="s">
        <v>387</v>
      </c>
    </row>
    <row r="33" spans="1:11" s="102" customFormat="1">
      <c r="A33" s="105" t="s">
        <v>42</v>
      </c>
      <c r="B33" s="105" t="s">
        <v>38</v>
      </c>
      <c r="C33" s="181" t="str">
        <f>C31</f>
        <v>micron</v>
      </c>
      <c r="K33" s="102" t="s">
        <v>388</v>
      </c>
    </row>
    <row r="34" spans="1:11" s="102" customFormat="1">
      <c r="A34" s="105" t="s">
        <v>42</v>
      </c>
      <c r="B34" s="105" t="s">
        <v>9</v>
      </c>
      <c r="C34" s="106" t="str">
        <f>IF(CORE!$E$2="Metric",IF(CORE!$I$2&lt;7,"mm","micron"),IF(CORE!$I$2&lt;1,"inch","mil"))</f>
        <v>mm</v>
      </c>
      <c r="K34" s="102" t="s">
        <v>389</v>
      </c>
    </row>
    <row r="35" spans="1:11" s="102" customFormat="1">
      <c r="A35" s="105" t="s">
        <v>42</v>
      </c>
      <c r="B35" s="105" t="s">
        <v>40</v>
      </c>
      <c r="C35" s="181" t="s">
        <v>126</v>
      </c>
      <c r="K35" s="102" t="s">
        <v>271</v>
      </c>
    </row>
    <row r="36" spans="1:11" s="102" customFormat="1">
      <c r="A36" s="105" t="s">
        <v>42</v>
      </c>
      <c r="B36" s="105" t="s">
        <v>39</v>
      </c>
      <c r="C36" s="181" t="s">
        <v>126</v>
      </c>
      <c r="K36" s="102" t="s">
        <v>422</v>
      </c>
    </row>
    <row r="37" spans="1:11" s="102" customFormat="1">
      <c r="A37" s="105" t="s">
        <v>42</v>
      </c>
      <c r="B37" s="105" t="s">
        <v>279</v>
      </c>
      <c r="C37" s="181" t="str">
        <f>C34</f>
        <v>mm</v>
      </c>
      <c r="K37" s="102" t="s">
        <v>390</v>
      </c>
    </row>
    <row r="38" spans="1:11" s="102" customFormat="1">
      <c r="A38" s="105" t="s">
        <v>42</v>
      </c>
      <c r="B38" s="105" t="s">
        <v>355</v>
      </c>
      <c r="C38" s="181" t="str">
        <f>C34</f>
        <v>mm</v>
      </c>
      <c r="K38" s="102" t="s">
        <v>423</v>
      </c>
    </row>
    <row r="39" spans="1:11" s="102" customFormat="1">
      <c r="A39" s="105" t="s">
        <v>42</v>
      </c>
      <c r="B39" s="105" t="s">
        <v>283</v>
      </c>
      <c r="C39" s="182" t="s">
        <v>126</v>
      </c>
      <c r="K39" s="102" t="s">
        <v>391</v>
      </c>
    </row>
    <row r="40" spans="1:11" s="102" customFormat="1">
      <c r="A40" s="105" t="s">
        <v>42</v>
      </c>
      <c r="B40" s="105" t="s">
        <v>284</v>
      </c>
      <c r="C40" s="182" t="s">
        <v>126</v>
      </c>
      <c r="K40" s="102" t="s">
        <v>392</v>
      </c>
    </row>
    <row r="41" spans="1:11" s="102" customFormat="1">
      <c r="A41" s="105" t="s">
        <v>42</v>
      </c>
      <c r="B41" s="105" t="s">
        <v>285</v>
      </c>
      <c r="C41" s="182" t="s">
        <v>126</v>
      </c>
      <c r="K41" s="102" t="s">
        <v>393</v>
      </c>
    </row>
    <row r="42" spans="1:11" s="102" customFormat="1">
      <c r="A42" s="105" t="s">
        <v>42</v>
      </c>
      <c r="B42" s="105" t="s">
        <v>286</v>
      </c>
      <c r="C42" s="182" t="s">
        <v>126</v>
      </c>
      <c r="K42" s="102" t="s">
        <v>394</v>
      </c>
    </row>
    <row r="43" spans="1:11" s="102" customFormat="1">
      <c r="A43" s="105" t="s">
        <v>42</v>
      </c>
      <c r="B43" s="105" t="s">
        <v>1481</v>
      </c>
      <c r="C43" s="106" t="s">
        <v>127</v>
      </c>
      <c r="K43" s="102" t="s">
        <v>395</v>
      </c>
    </row>
    <row r="44" spans="1:11" s="102" customFormat="1">
      <c r="A44" s="107" t="s">
        <v>70</v>
      </c>
      <c r="B44" s="107" t="s">
        <v>26</v>
      </c>
      <c r="C44" s="108" t="s">
        <v>122</v>
      </c>
      <c r="K44" s="102" t="s">
        <v>396</v>
      </c>
    </row>
    <row r="45" spans="1:11" s="102" customFormat="1">
      <c r="A45" s="107" t="s">
        <v>70</v>
      </c>
      <c r="B45" s="107" t="s">
        <v>27</v>
      </c>
      <c r="C45" s="108" t="s">
        <v>122</v>
      </c>
      <c r="K45" s="102" t="s">
        <v>397</v>
      </c>
    </row>
    <row r="46" spans="1:11" s="102" customFormat="1">
      <c r="A46" s="107" t="s">
        <v>70</v>
      </c>
      <c r="B46" s="107" t="s">
        <v>17</v>
      </c>
      <c r="C46" s="108" t="s">
        <v>123</v>
      </c>
      <c r="K46" s="102" t="s">
        <v>382</v>
      </c>
    </row>
    <row r="47" spans="1:11" s="102" customFormat="1">
      <c r="A47" s="107" t="s">
        <v>70</v>
      </c>
      <c r="B47" s="107" t="s">
        <v>18</v>
      </c>
      <c r="C47" s="181" t="str">
        <f>IF(LAMINATE!$E$3="Imperial","mil","micron")</f>
        <v>mil</v>
      </c>
      <c r="K47" s="102" t="s">
        <v>383</v>
      </c>
    </row>
    <row r="48" spans="1:11" s="102" customFormat="1">
      <c r="A48" s="107" t="s">
        <v>70</v>
      </c>
      <c r="B48" s="107" t="s">
        <v>19</v>
      </c>
      <c r="C48" s="181" t="str">
        <f>C47</f>
        <v>mil</v>
      </c>
      <c r="K48" s="102" t="s">
        <v>384</v>
      </c>
    </row>
    <row r="49" spans="1:11" s="102" customFormat="1">
      <c r="A49" s="107" t="s">
        <v>70</v>
      </c>
      <c r="B49" s="107" t="s">
        <v>15</v>
      </c>
      <c r="C49" s="108" t="s">
        <v>85</v>
      </c>
      <c r="K49" s="102" t="s">
        <v>385</v>
      </c>
    </row>
    <row r="50" spans="1:11" s="102" customFormat="1">
      <c r="A50" s="107" t="s">
        <v>70</v>
      </c>
      <c r="B50" s="107" t="s">
        <v>14</v>
      </c>
      <c r="C50" s="108" t="s">
        <v>85</v>
      </c>
      <c r="K50" s="102" t="s">
        <v>386</v>
      </c>
    </row>
    <row r="51" spans="1:11" s="102" customFormat="1">
      <c r="A51" s="107" t="s">
        <v>70</v>
      </c>
      <c r="B51" s="107" t="s">
        <v>355</v>
      </c>
      <c r="C51" s="181" t="str">
        <f>C46</f>
        <v>mil</v>
      </c>
      <c r="K51" s="102" t="s">
        <v>398</v>
      </c>
    </row>
    <row r="52" spans="1:11" s="102" customFormat="1">
      <c r="A52" s="109" t="s">
        <v>89</v>
      </c>
      <c r="B52" s="109" t="s">
        <v>26</v>
      </c>
      <c r="C52" s="109" t="s">
        <v>127</v>
      </c>
      <c r="K52" s="102" t="s">
        <v>399</v>
      </c>
    </row>
    <row r="53" spans="1:11" s="102" customFormat="1">
      <c r="A53" s="109" t="s">
        <v>89</v>
      </c>
      <c r="B53" s="109" t="s">
        <v>27</v>
      </c>
      <c r="C53" s="109" t="s">
        <v>127</v>
      </c>
      <c r="K53" s="102" t="s">
        <v>400</v>
      </c>
    </row>
    <row r="54" spans="1:11" s="111" customFormat="1">
      <c r="A54" s="109" t="s">
        <v>89</v>
      </c>
      <c r="B54" s="109" t="s">
        <v>55</v>
      </c>
      <c r="C54" s="110" t="s">
        <v>123</v>
      </c>
      <c r="K54" s="111" t="s">
        <v>272</v>
      </c>
    </row>
    <row r="55" spans="1:11" s="111" customFormat="1">
      <c r="A55" s="109" t="s">
        <v>89</v>
      </c>
      <c r="B55" s="109" t="s">
        <v>56</v>
      </c>
      <c r="C55" s="182" t="s">
        <v>124</v>
      </c>
      <c r="K55" s="111" t="s">
        <v>424</v>
      </c>
    </row>
    <row r="56" spans="1:11" s="102" customFormat="1">
      <c r="A56" s="109" t="s">
        <v>89</v>
      </c>
      <c r="B56" s="109" t="s">
        <v>57</v>
      </c>
      <c r="C56" s="109" t="s">
        <v>123</v>
      </c>
      <c r="K56" s="102" t="s">
        <v>401</v>
      </c>
    </row>
    <row r="57" spans="1:11" s="102" customFormat="1">
      <c r="A57" s="109" t="s">
        <v>89</v>
      </c>
      <c r="B57" s="109" t="s">
        <v>61</v>
      </c>
      <c r="C57" s="109" t="s">
        <v>123</v>
      </c>
      <c r="K57" s="102" t="s">
        <v>425</v>
      </c>
    </row>
    <row r="58" spans="1:11" s="102" customFormat="1">
      <c r="A58" s="109" t="s">
        <v>89</v>
      </c>
      <c r="B58" s="109" t="s">
        <v>58</v>
      </c>
      <c r="C58" s="109" t="s">
        <v>123</v>
      </c>
      <c r="K58" s="102" t="s">
        <v>402</v>
      </c>
    </row>
    <row r="59" spans="1:11" s="102" customFormat="1">
      <c r="A59" s="109" t="s">
        <v>89</v>
      </c>
      <c r="B59" s="109" t="s">
        <v>59</v>
      </c>
      <c r="C59" s="109" t="s">
        <v>123</v>
      </c>
      <c r="K59" s="102" t="s">
        <v>403</v>
      </c>
    </row>
    <row r="60" spans="1:11" s="102" customFormat="1">
      <c r="A60" s="109" t="s">
        <v>89</v>
      </c>
      <c r="B60" s="109" t="s">
        <v>60</v>
      </c>
      <c r="C60" s="183" t="s">
        <v>124</v>
      </c>
      <c r="K60" s="102" t="s">
        <v>404</v>
      </c>
    </row>
    <row r="61" spans="1:11" s="102" customFormat="1">
      <c r="A61" s="109" t="s">
        <v>89</v>
      </c>
      <c r="B61" s="109" t="s">
        <v>322</v>
      </c>
      <c r="C61" s="183" t="s">
        <v>323</v>
      </c>
      <c r="K61" s="102" t="s">
        <v>405</v>
      </c>
    </row>
    <row r="62" spans="1:11" s="102" customFormat="1">
      <c r="A62" s="109" t="s">
        <v>89</v>
      </c>
      <c r="B62" s="109" t="s">
        <v>355</v>
      </c>
      <c r="C62" s="181" t="str">
        <f>C57</f>
        <v>mil</v>
      </c>
      <c r="K62" s="102" t="s">
        <v>406</v>
      </c>
    </row>
    <row r="63" spans="1:11" s="102" customFormat="1">
      <c r="A63" s="112" t="s">
        <v>90</v>
      </c>
      <c r="B63" s="112" t="s">
        <v>26</v>
      </c>
      <c r="C63" s="112" t="s">
        <v>127</v>
      </c>
      <c r="K63" s="102" t="s">
        <v>407</v>
      </c>
    </row>
    <row r="64" spans="1:11" s="102" customFormat="1">
      <c r="A64" s="112" t="s">
        <v>90</v>
      </c>
      <c r="B64" s="112" t="s">
        <v>27</v>
      </c>
      <c r="C64" s="112" t="s">
        <v>127</v>
      </c>
      <c r="K64" s="102" t="s">
        <v>408</v>
      </c>
    </row>
    <row r="65" spans="1:11" s="102" customFormat="1">
      <c r="A65" s="112" t="s">
        <v>90</v>
      </c>
      <c r="B65" s="112" t="s">
        <v>57</v>
      </c>
      <c r="C65" s="112" t="s">
        <v>123</v>
      </c>
      <c r="K65" s="102" t="s">
        <v>267</v>
      </c>
    </row>
    <row r="66" spans="1:11" s="102" customFormat="1">
      <c r="A66" s="112" t="s">
        <v>90</v>
      </c>
      <c r="B66" s="112" t="s">
        <v>61</v>
      </c>
      <c r="C66" s="112" t="s">
        <v>123</v>
      </c>
      <c r="K66" s="102" t="s">
        <v>268</v>
      </c>
    </row>
    <row r="67" spans="1:11" s="102" customFormat="1">
      <c r="A67" s="112" t="s">
        <v>90</v>
      </c>
      <c r="B67" s="112" t="s">
        <v>58</v>
      </c>
      <c r="C67" s="112" t="s">
        <v>123</v>
      </c>
      <c r="K67" s="102" t="s">
        <v>269</v>
      </c>
    </row>
    <row r="68" spans="1:11" s="102" customFormat="1">
      <c r="A68" s="112" t="s">
        <v>90</v>
      </c>
      <c r="B68" s="112" t="s">
        <v>322</v>
      </c>
      <c r="C68" s="183" t="s">
        <v>323</v>
      </c>
      <c r="K68" s="102" t="s">
        <v>270</v>
      </c>
    </row>
    <row r="69" spans="1:11" s="102" customFormat="1">
      <c r="A69" s="112" t="s">
        <v>90</v>
      </c>
      <c r="B69" s="112" t="s">
        <v>355</v>
      </c>
      <c r="C69" s="181" t="str">
        <f>C66</f>
        <v>mil</v>
      </c>
      <c r="K69" s="102" t="s">
        <v>426</v>
      </c>
    </row>
    <row r="70" spans="1:11">
      <c r="A70" s="119" t="s">
        <v>91</v>
      </c>
      <c r="B70" s="119" t="s">
        <v>26</v>
      </c>
      <c r="C70" s="119" t="s">
        <v>127</v>
      </c>
      <c r="K70" s="1" t="s">
        <v>427</v>
      </c>
    </row>
    <row r="71" spans="1:11">
      <c r="A71" s="119" t="s">
        <v>91</v>
      </c>
      <c r="B71" s="119" t="s">
        <v>27</v>
      </c>
      <c r="C71" s="119" t="s">
        <v>127</v>
      </c>
      <c r="K71" s="1" t="s">
        <v>428</v>
      </c>
    </row>
    <row r="72" spans="1:11">
      <c r="A72" s="119" t="s">
        <v>91</v>
      </c>
      <c r="B72" s="119" t="s">
        <v>17</v>
      </c>
      <c r="C72" s="119" t="s">
        <v>123</v>
      </c>
      <c r="K72" s="1" t="s">
        <v>429</v>
      </c>
    </row>
    <row r="73" spans="1:11">
      <c r="A73" s="119" t="s">
        <v>91</v>
      </c>
      <c r="B73" s="119" t="s">
        <v>322</v>
      </c>
      <c r="C73" s="183" t="s">
        <v>323</v>
      </c>
      <c r="K73" s="1" t="s">
        <v>430</v>
      </c>
    </row>
    <row r="74" spans="1:11">
      <c r="A74" s="119" t="s">
        <v>91</v>
      </c>
      <c r="B74" s="119" t="s">
        <v>355</v>
      </c>
      <c r="C74" s="181" t="str">
        <f>C72</f>
        <v>mil</v>
      </c>
      <c r="K74" s="1" t="s">
        <v>431</v>
      </c>
    </row>
    <row r="75" spans="1:11">
      <c r="A75" s="118" t="s">
        <v>92</v>
      </c>
      <c r="B75" s="118" t="s">
        <v>26</v>
      </c>
      <c r="C75" s="118" t="s">
        <v>127</v>
      </c>
      <c r="K75" s="1" t="s">
        <v>432</v>
      </c>
    </row>
    <row r="76" spans="1:11">
      <c r="A76" s="118" t="s">
        <v>92</v>
      </c>
      <c r="B76" s="118" t="s">
        <v>27</v>
      </c>
      <c r="C76" s="118" t="s">
        <v>127</v>
      </c>
      <c r="K76" s="1" t="s">
        <v>433</v>
      </c>
    </row>
    <row r="77" spans="1:11">
      <c r="A77" s="118" t="s">
        <v>92</v>
      </c>
      <c r="B77" s="118" t="s">
        <v>62</v>
      </c>
      <c r="C77" s="118" t="s">
        <v>123</v>
      </c>
      <c r="K77" s="1" t="s">
        <v>434</v>
      </c>
    </row>
    <row r="78" spans="1:11">
      <c r="A78" s="118" t="s">
        <v>92</v>
      </c>
      <c r="B78" s="118" t="s">
        <v>61</v>
      </c>
      <c r="C78" s="118" t="s">
        <v>123</v>
      </c>
      <c r="K78" s="1" t="s">
        <v>419</v>
      </c>
    </row>
    <row r="79" spans="1:11">
      <c r="A79" s="118" t="s">
        <v>92</v>
      </c>
      <c r="B79" s="118" t="s">
        <v>322</v>
      </c>
      <c r="C79" s="183" t="s">
        <v>323</v>
      </c>
      <c r="K79" s="1" t="s">
        <v>420</v>
      </c>
    </row>
    <row r="80" spans="1:11">
      <c r="A80" s="118" t="s">
        <v>92</v>
      </c>
      <c r="B80" s="118" t="s">
        <v>355</v>
      </c>
      <c r="C80" s="181" t="str">
        <f>C78</f>
        <v>mil</v>
      </c>
      <c r="K80" s="1" t="s">
        <v>471</v>
      </c>
    </row>
    <row r="81" spans="1:11">
      <c r="A81" s="121" t="s">
        <v>193</v>
      </c>
      <c r="B81" s="121" t="s">
        <v>26</v>
      </c>
      <c r="C81" s="121" t="s">
        <v>127</v>
      </c>
      <c r="K81" s="1" t="s">
        <v>44</v>
      </c>
    </row>
    <row r="82" spans="1:11">
      <c r="A82" s="121" t="s">
        <v>193</v>
      </c>
      <c r="B82" s="121" t="s">
        <v>27</v>
      </c>
      <c r="C82" s="121" t="s">
        <v>127</v>
      </c>
      <c r="K82" s="1" t="s">
        <v>45</v>
      </c>
    </row>
    <row r="83" spans="1:11">
      <c r="A83" s="121" t="s">
        <v>193</v>
      </c>
      <c r="B83" s="121" t="s">
        <v>62</v>
      </c>
      <c r="C83" s="121" t="s">
        <v>123</v>
      </c>
      <c r="K83" s="1" t="s">
        <v>456</v>
      </c>
    </row>
    <row r="84" spans="1:11">
      <c r="A84" s="121" t="s">
        <v>193</v>
      </c>
      <c r="B84" s="121" t="s">
        <v>172</v>
      </c>
      <c r="C84" s="121" t="s">
        <v>123</v>
      </c>
      <c r="K84" s="1" t="s">
        <v>457</v>
      </c>
    </row>
    <row r="85" spans="1:11">
      <c r="A85" s="121" t="s">
        <v>193</v>
      </c>
      <c r="B85" s="121" t="s">
        <v>173</v>
      </c>
      <c r="C85" s="121" t="s">
        <v>123</v>
      </c>
      <c r="K85" s="1" t="s">
        <v>283</v>
      </c>
    </row>
    <row r="86" spans="1:11">
      <c r="A86" s="121" t="s">
        <v>193</v>
      </c>
      <c r="B86" s="121" t="s">
        <v>322</v>
      </c>
      <c r="C86" s="183" t="s">
        <v>323</v>
      </c>
      <c r="K86" s="1" t="s">
        <v>284</v>
      </c>
    </row>
    <row r="87" spans="1:11">
      <c r="A87" s="121" t="s">
        <v>193</v>
      </c>
      <c r="B87" s="121" t="s">
        <v>355</v>
      </c>
      <c r="C87" s="181" t="str">
        <f>C83</f>
        <v>mil</v>
      </c>
      <c r="K87" s="1" t="s">
        <v>285</v>
      </c>
    </row>
    <row r="88" spans="1:11">
      <c r="A88" s="2" t="s">
        <v>93</v>
      </c>
      <c r="B88" s="1" t="s">
        <v>26</v>
      </c>
      <c r="C88" s="1" t="s">
        <v>127</v>
      </c>
      <c r="K88" s="1" t="s">
        <v>286</v>
      </c>
    </row>
    <row r="89" spans="1:11">
      <c r="A89" s="2" t="s">
        <v>93</v>
      </c>
      <c r="B89" s="1" t="s">
        <v>27</v>
      </c>
      <c r="C89" s="1" t="s">
        <v>127</v>
      </c>
      <c r="K89" s="1" t="s">
        <v>25</v>
      </c>
    </row>
    <row r="90" spans="1:11">
      <c r="A90" s="2" t="s">
        <v>93</v>
      </c>
      <c r="B90" s="1" t="s">
        <v>17</v>
      </c>
      <c r="C90" s="1" t="s">
        <v>123</v>
      </c>
      <c r="K90" s="1" t="s">
        <v>372</v>
      </c>
    </row>
    <row r="91" spans="1:11">
      <c r="A91" s="2" t="s">
        <v>93</v>
      </c>
      <c r="B91" s="1" t="s">
        <v>355</v>
      </c>
      <c r="C91" s="181" t="str">
        <f>C90</f>
        <v>mil</v>
      </c>
      <c r="K91" s="1" t="s">
        <v>458</v>
      </c>
    </row>
    <row r="92" spans="1:11">
      <c r="A92" s="2" t="s">
        <v>98</v>
      </c>
      <c r="B92" s="1" t="s">
        <v>96</v>
      </c>
      <c r="C92" s="1" t="s">
        <v>127</v>
      </c>
      <c r="K92" s="1" t="s">
        <v>413</v>
      </c>
    </row>
    <row r="93" spans="1:11">
      <c r="A93" s="2" t="s">
        <v>6</v>
      </c>
      <c r="B93" s="1" t="s">
        <v>102</v>
      </c>
      <c r="C93" s="1" t="s">
        <v>123</v>
      </c>
      <c r="K93" s="1" t="s">
        <v>373</v>
      </c>
    </row>
    <row r="94" spans="1:11">
      <c r="A94" s="2" t="s">
        <v>6</v>
      </c>
      <c r="B94" s="1" t="s">
        <v>103</v>
      </c>
      <c r="C94" s="1" t="s">
        <v>123</v>
      </c>
      <c r="K94" s="1" t="s">
        <v>9</v>
      </c>
    </row>
    <row r="95" spans="1:11">
      <c r="A95" s="2" t="s">
        <v>6</v>
      </c>
      <c r="B95" s="1" t="s">
        <v>106</v>
      </c>
      <c r="C95" s="1" t="s">
        <v>123</v>
      </c>
      <c r="K95" s="1" t="s">
        <v>355</v>
      </c>
    </row>
    <row r="96" spans="1:11">
      <c r="A96" s="2" t="s">
        <v>6</v>
      </c>
      <c r="B96" s="1" t="s">
        <v>8</v>
      </c>
      <c r="C96" s="1" t="s">
        <v>124</v>
      </c>
      <c r="K96" s="1" t="s">
        <v>442</v>
      </c>
    </row>
    <row r="97" spans="1:11">
      <c r="A97" s="2" t="s">
        <v>6</v>
      </c>
      <c r="B97" s="1" t="s">
        <v>107</v>
      </c>
      <c r="C97" s="1" t="s">
        <v>123</v>
      </c>
      <c r="K97" s="1" t="s">
        <v>441</v>
      </c>
    </row>
    <row r="98" spans="1:11">
      <c r="A98" s="2" t="s">
        <v>6</v>
      </c>
      <c r="B98" s="1" t="s">
        <v>108</v>
      </c>
      <c r="C98" s="1" t="s">
        <v>123</v>
      </c>
      <c r="K98" s="1" t="s">
        <v>468</v>
      </c>
    </row>
    <row r="99" spans="1:11">
      <c r="A99" s="2" t="s">
        <v>6</v>
      </c>
      <c r="B99" s="1" t="s">
        <v>113</v>
      </c>
      <c r="C99" s="1" t="s">
        <v>123</v>
      </c>
      <c r="K99" s="1" t="s">
        <v>469</v>
      </c>
    </row>
    <row r="100" spans="1:11">
      <c r="A100" s="2" t="s">
        <v>6</v>
      </c>
      <c r="B100" s="1" t="s">
        <v>116</v>
      </c>
      <c r="C100" s="1" t="s">
        <v>123</v>
      </c>
      <c r="K100" s="1" t="s">
        <v>40</v>
      </c>
    </row>
    <row r="101" spans="1:11">
      <c r="A101" s="2" t="s">
        <v>6</v>
      </c>
      <c r="B101" s="1" t="s">
        <v>118</v>
      </c>
      <c r="C101" s="1" t="s">
        <v>123</v>
      </c>
      <c r="K101" s="1" t="s">
        <v>39</v>
      </c>
    </row>
    <row r="102" spans="1:11">
      <c r="A102" s="2" t="s">
        <v>6</v>
      </c>
      <c r="B102" s="1" t="s">
        <v>14</v>
      </c>
      <c r="C102" s="1" t="s">
        <v>84</v>
      </c>
      <c r="K102" s="1" t="s">
        <v>281</v>
      </c>
    </row>
    <row r="103" spans="1:11">
      <c r="A103" s="2" t="s">
        <v>6</v>
      </c>
      <c r="B103" s="1" t="s">
        <v>15</v>
      </c>
      <c r="C103" s="1" t="s">
        <v>84</v>
      </c>
      <c r="K103" s="1" t="s">
        <v>282</v>
      </c>
    </row>
    <row r="104" spans="1:11">
      <c r="A104" s="2" t="s">
        <v>6</v>
      </c>
      <c r="B104" s="1" t="s">
        <v>86</v>
      </c>
      <c r="C104" s="1" t="s">
        <v>123</v>
      </c>
      <c r="K104" s="1" t="s">
        <v>26</v>
      </c>
    </row>
    <row r="105" spans="1:11">
      <c r="A105" s="2" t="s">
        <v>6</v>
      </c>
      <c r="B105" s="1" t="s">
        <v>110</v>
      </c>
      <c r="C105" s="1" t="s">
        <v>123</v>
      </c>
      <c r="K105" s="1" t="s">
        <v>27</v>
      </c>
    </row>
    <row r="106" spans="1:11">
      <c r="A106" s="2" t="s">
        <v>6</v>
      </c>
      <c r="B106" s="1" t="s">
        <v>26</v>
      </c>
      <c r="C106" s="1" t="s">
        <v>122</v>
      </c>
      <c r="H106" s="2"/>
      <c r="K106" s="1" t="s">
        <v>276</v>
      </c>
    </row>
    <row r="107" spans="1:11">
      <c r="A107" s="2" t="s">
        <v>6</v>
      </c>
      <c r="B107" s="1" t="s">
        <v>27</v>
      </c>
      <c r="C107" s="1" t="s">
        <v>122</v>
      </c>
      <c r="H107" s="2"/>
      <c r="K107" s="1" t="s">
        <v>32</v>
      </c>
    </row>
    <row r="108" spans="1:11">
      <c r="A108" s="2" t="s">
        <v>6</v>
      </c>
      <c r="B108" s="1" t="s">
        <v>117</v>
      </c>
      <c r="C108" s="1" t="s">
        <v>123</v>
      </c>
      <c r="K108" s="1" t="s">
        <v>33</v>
      </c>
    </row>
    <row r="109" spans="1:11">
      <c r="A109" s="2" t="s">
        <v>517</v>
      </c>
      <c r="B109" s="1" t="s">
        <v>26</v>
      </c>
      <c r="C109" s="1" t="s">
        <v>122</v>
      </c>
      <c r="K109" s="1" t="s">
        <v>34</v>
      </c>
    </row>
    <row r="110" spans="1:11">
      <c r="A110" s="2" t="s">
        <v>517</v>
      </c>
      <c r="B110" s="1" t="s">
        <v>27</v>
      </c>
      <c r="C110" s="1" t="s">
        <v>122</v>
      </c>
      <c r="K110" s="1" t="s">
        <v>36</v>
      </c>
    </row>
    <row r="111" spans="1:11">
      <c r="A111" s="2" t="s">
        <v>517</v>
      </c>
      <c r="B111" s="1" t="s">
        <v>355</v>
      </c>
      <c r="C111" s="1" t="s">
        <v>123</v>
      </c>
      <c r="K111" s="1" t="s">
        <v>37</v>
      </c>
    </row>
    <row r="112" spans="1:11">
      <c r="A112" s="2"/>
      <c r="K112" s="1" t="s">
        <v>38</v>
      </c>
    </row>
    <row r="113" spans="1:11">
      <c r="A113" s="2"/>
      <c r="K113" s="1" t="s">
        <v>22</v>
      </c>
    </row>
    <row r="114" spans="1:11">
      <c r="A114" s="2"/>
      <c r="K114" s="1" t="s">
        <v>23</v>
      </c>
    </row>
    <row r="115" spans="1:11">
      <c r="A115" s="2"/>
      <c r="K115" s="1" t="s">
        <v>24</v>
      </c>
    </row>
    <row r="116" spans="1:11">
      <c r="A116" s="2"/>
    </row>
    <row r="117" spans="1:11">
      <c r="A117" s="2"/>
    </row>
    <row r="118" spans="1:11">
      <c r="A118" s="2"/>
    </row>
    <row r="119" spans="1:11">
      <c r="A119" s="2"/>
    </row>
    <row r="120" spans="1:11">
      <c r="A120" s="2"/>
    </row>
    <row r="121" spans="1:11">
      <c r="A121" s="2"/>
    </row>
    <row r="122" spans="1:11">
      <c r="A122" s="2"/>
    </row>
    <row r="123" spans="1:11">
      <c r="A123" s="2"/>
    </row>
    <row r="124" spans="1:11">
      <c r="A124" s="2"/>
    </row>
    <row r="125" spans="1:11">
      <c r="A125" s="2"/>
    </row>
    <row r="126" spans="1:11">
      <c r="A126" s="2"/>
    </row>
    <row r="127" spans="1:11">
      <c r="A127" s="2"/>
    </row>
    <row r="128" spans="1:11">
      <c r="A128" s="2"/>
    </row>
    <row r="129" spans="1:1">
      <c r="A129" s="2"/>
    </row>
    <row r="130" spans="1:1">
      <c r="A130" s="2"/>
    </row>
    <row r="131" spans="1:1">
      <c r="A131" s="2"/>
    </row>
    <row r="132" spans="1:1">
      <c r="A132" s="2"/>
    </row>
    <row r="133" spans="1:1">
      <c r="A133" s="2"/>
    </row>
    <row r="134" spans="1:1">
      <c r="A134" s="2"/>
    </row>
  </sheetData>
  <dataConsolidate/>
  <phoneticPr fontId="5" type="noConversion"/>
  <dataValidations count="109">
    <dataValidation type="list" allowBlank="1" showInputMessage="1" showErrorMessage="1" sqref="WLN45:WLN51 B23 IX23 ST23 ACP23 AML23 AWH23 BGD23 BPZ23 BZV23 CJR23 CTN23 DDJ23 DNF23 DXB23 EGX23 EQT23 FAP23 FKL23 FUH23 GED23 GNZ23 GXV23 HHR23 HRN23 IBJ23 ILF23 IVB23 JEX23 JOT23 JYP23 KIL23 KSH23 LCD23 LLZ23 LVV23 MFR23 MPN23 MZJ23 NJF23 NTB23 OCX23 OMT23 OWP23 PGL23 PQH23 QAD23 QJZ23 QTV23 RDR23 RNN23 RXJ23 SHF23 SRB23 TAX23 TKT23 TUP23 UEL23 UOH23 UYD23 VHZ23 VRV23 WBR23 WLN23 WVJ23 VRV45:VRV51 IX13:IX16 ST13:ST16 ACP13:ACP16 AML13:AML16 AWH13:AWH16 BGD13:BGD16 BPZ13:BPZ16 BZV13:BZV16 CJR13:CJR16 CTN13:CTN16 DDJ13:DDJ16 DNF13:DNF16 DXB13:DXB16 EGX13:EGX16 EQT13:EQT16 FAP13:FAP16 FKL13:FKL16 FUH13:FUH16 GED13:GED16 GNZ13:GNZ16 GXV13:GXV16 HHR13:HHR16 HRN13:HRN16 IBJ13:IBJ16 ILF13:ILF16 IVB13:IVB16 JEX13:JEX16 JOT13:JOT16 JYP13:JYP16 KIL13:KIL16 KSH13:KSH16 LCD13:LCD16 LLZ13:LLZ16 LVV13:LVV16 MFR13:MFR16 MPN13:MPN16 MZJ13:MZJ16 NJF13:NJF16 NTB13:NTB16 OCX13:OCX16 OMT13:OMT16 OWP13:OWP16 PGL13:PGL16 PQH13:PQH16 QAD13:QAD16 QJZ13:QJZ16 QTV13:QTV16 RDR13:RDR16 RNN13:RNN16 RXJ13:RXJ16 SHF13:SHF16 SRB13:SRB16 TAX13:TAX16 TKT13:TKT16 TUP13:TUP16 UEL13:UEL16 UOH13:UOH16 UYD13:UYD16 VHZ13:VHZ16 VRV13:VRV16 WBR13:WBR16 WLN13:WLN16 WVJ13:WVJ16 VHZ45:VHZ51 B14 UYD45:UYD51 UOH45:UOH51 UEL45:UEL51 TUP45:TUP51 TKT45:TKT51 TAX45:TAX51 SRB45:SRB51 SHF45:SHF51 RXJ45:RXJ51 RNN45:RNN51 RDR45:RDR51 QTV45:QTV51 QJZ45:QJZ51 QAD45:QAD51 PQH45:PQH51 PGL45:PGL51 OWP45:OWP51 OMT45:OMT51 OCX45:OCX51 NTB45:NTB51 NJF45:NJF51 MZJ45:MZJ51 MPN45:MPN51 MFR45:MFR51 LVV45:LVV51 LLZ45:LLZ51 LCD45:LCD51 KSH45:KSH51 KIL45:KIL51 JYP45:JYP51 JOT45:JOT51 JEX45:JEX51 IVB45:IVB51 ILF45:ILF51 IBJ45:IBJ51 HRN45:HRN51 HHR45:HHR51 GXV45:GXV51 GNZ45:GNZ51 GED45:GED51 FUH45:FUH51 FKL45:FKL51 FAP45:FAP51 EQT45:EQT51 EGX45:EGX51 DXB45:DXB51 DNF45:DNF51 DDJ45:DDJ51 CTN45:CTN51 CJR45:CJR51 BZV45:BZV51 BPZ45:BPZ51 BGD45:BGD51 AWH45:AWH51 AML45:AML51 ACP45:ACP51 ST45:ST51 IX45:IX51 WVJ45:WVJ51 WBR45:WBR51 B70:B72 B46:B50 WVJ27:WVJ42 IX27:IX42 ST27:ST42 ACP27:ACP42 AML27:AML42 AWH27:AWH42 BGD27:BGD42 BPZ27:BPZ42 BZV27:BZV42 CJR27:CJR42 CTN27:CTN42 DDJ27:DDJ42 DNF27:DNF42 DXB27:DXB42 EGX27:EGX42 EQT27:EQT42 FAP27:FAP42 FKL27:FKL42 FUH27:FUH42 GED27:GED42 GNZ27:GNZ42 GXV27:GXV42 HHR27:HHR42 HRN27:HRN42 IBJ27:IBJ42 ILF27:ILF42 IVB27:IVB42 JEX27:JEX42 JOT27:JOT42 JYP27:JYP42 KIL27:KIL42 KSH27:KSH42 LCD27:LCD42 LLZ27:LLZ42 LVV27:LVV42 MFR27:MFR42 MPN27:MPN42 MZJ27:MZJ42 NJF27:NJF42 NTB27:NTB42 OCX27:OCX42 OMT27:OMT42 OWP27:OWP42 PGL27:PGL42 PQH27:PQH42 QAD27:QAD42 QJZ27:QJZ42 QTV27:QTV42 RDR27:RDR42 RNN27:RNN42 RXJ27:RXJ42 SHF27:SHF42 SRB27:SRB42 TAX27:TAX42 TKT27:TKT42 TUP27:TUP42 UEL27:UEL42 UOH27:UOH42 UYD27:UYD42 VHZ27:VHZ42 VRV27:VRV42 WLN27:WLN42 B27:B33 B37 WBR27:WBR42">
      <formula1>#REF!</formula1>
    </dataValidation>
    <dataValidation type="list" allowBlank="1" showInputMessage="1" showErrorMessage="1" sqref="A147:A148">
      <formula1>"READ_ME,FOIL,PREPREG,CORE,LAMINATE,CUSTOMER,RCF,DRILL_BIT,MRP_STEP,"</formula1>
    </dataValidation>
    <dataValidation type="list" allowBlank="1" showInputMessage="1" showErrorMessage="1" sqref="A135:A146">
      <formula1>"READ_ME,FOIL,PREPREG,CORE,LAMINATE,FLEX_CLAD,ADHESIVE,COVER_FILM,EMI_SHIELDING_FILM,BONDPLY,CUSTOMER,RCF,DRILL_BIT,MRP_STEP,"</formula1>
    </dataValidation>
    <dataValidation type="list" allowBlank="1" showInputMessage="1" showErrorMessage="1" sqref="B96">
      <formula1>$K54:$K72</formula1>
    </dataValidation>
    <dataValidation type="list" allowBlank="1" showInputMessage="1" showErrorMessage="1" sqref="B100">
      <formula1>$K54:$K72</formula1>
    </dataValidation>
    <dataValidation type="list" allowBlank="1" showInputMessage="1" showErrorMessage="1" sqref="B107">
      <formula1>$K54:$K72</formula1>
    </dataValidation>
    <dataValidation type="list" allowBlank="1" showInputMessage="1" showErrorMessage="1" sqref="B106">
      <formula1>$K54:$K72</formula1>
    </dataValidation>
    <dataValidation type="list" allowBlank="1" showInputMessage="1" showErrorMessage="1" sqref="IW44:IW51 SS44:SS51 ACO44:ACO51 AMK44:AMK51 AWG44:AWG51 BGC44:BGC51 BPY44:BPY51 BZU44:BZU51 CJQ44:CJQ51 CTM44:CTM51 DDI44:DDI51 DNE44:DNE51 DXA44:DXA51 EGW44:EGW51 EQS44:EQS51 FAO44:FAO51 FKK44:FKK51 FUG44:FUG51 GEC44:GEC51 GNY44:GNY51 GXU44:GXU51 HHQ44:HHQ51 HRM44:HRM51 IBI44:IBI51 ILE44:ILE51 IVA44:IVA51 JEW44:JEW51 JOS44:JOS51 JYO44:JYO51 KIK44:KIK51 KSG44:KSG51 LCC44:LCC51 LLY44:LLY51 LVU44:LVU51 MFQ44:MFQ51 MPM44:MPM51 MZI44:MZI51 NJE44:NJE51 NTA44:NTA51 OCW44:OCW51 OMS44:OMS51 OWO44:OWO51 PGK44:PGK51 PQG44:PQG51 QAC44:QAC51 QJY44:QJY51 QTU44:QTU51 RDQ44:RDQ51 RNM44:RNM51 RXI44:RXI51 SHE44:SHE51 SRA44:SRA51 TAW44:TAW51 TKS44:TKS51 TUO44:TUO51 UEK44:UEK51 UOG44:UOG51 UYC44:UYC51 VHY44:VHY51 VRU44:VRU51 WBQ44:WBQ51 WLM44:WLM51 WBQ22:WBQ42 VRU22:VRU42 VHY22:VHY42 UYC22:UYC42 UOG22:UOG42 UEK22:UEK42 TUO22:TUO42 TKS22:TKS42 TAW22:TAW42 SRA22:SRA42 SHE22:SHE42 RXI22:RXI42 RNM22:RNM42 RDQ22:RDQ42 QTU22:QTU42 QJY22:QJY42 QAC22:QAC42 PQG22:PQG42 PGK22:PGK42 OWO22:OWO42 OMS22:OMS42 OCW22:OCW42 NTA22:NTA42 NJE22:NJE42 MZI22:MZI42 MPM22:MPM42 MFQ22:MFQ42 LVU22:LVU42 LLY22:LLY42 LCC22:LCC42 KSG22:KSG42 KIK22:KIK42 JYO22:JYO42 JOS22:JOS42 JEW22:JEW42 IVA22:IVA42 ILE22:ILE42 IBI22:IBI42 HRM22:HRM42 HHQ22:HHQ42 GXU22:GXU42 GNY22:GNY42 GEC22:GEC42 FUG22:FUG42 FKK22:FKK42 FAO22:FAO42 EQS22:EQS42 EGW22:EGW42 DXA22:DXA42 DNE22:DNE42 DDI22:DDI42 CTM22:CTM42 CJQ22:CJQ42 BZU22:BZU42 BPY22:BPY42 BGC22:BGC42 AWG22:AWG42 AMK22:AMK42 ACO22:ACO42 SS22:SS42 IW22:IW42 WVI22:WVI42 WVI44:WVI51 WVI2:WVI20 IW2:IW20 SS2:SS20 ACO2:ACO20 AMK2:AMK20 AWG2:AWG20 BGC2:BGC20 BPY2:BPY20 BZU2:BZU20 CJQ2:CJQ20 CTM2:CTM20 DDI2:DDI20 DNE2:DNE20 DXA2:DXA20 EGW2:EGW20 EQS2:EQS20 FAO2:FAO20 FKK2:FKK20 FUG2:FUG20 GEC2:GEC20 GNY2:GNY20 GXU2:GXU20 HHQ2:HHQ20 HRM2:HRM20 IBI2:IBI20 ILE2:ILE20 IVA2:IVA20 JEW2:JEW20 JOS2:JOS20 JYO2:JYO20 KIK2:KIK20 KSG2:KSG20 LCC2:LCC20 LLY2:LLY20 LVU2:LVU20 MFQ2:MFQ20 MPM2:MPM20 MZI2:MZI20 NJE2:NJE20 NTA2:NTA20 OCW2:OCW20 OMS2:OMS20 OWO2:OWO20 PGK2:PGK20 PQG2:PQG20 QAC2:QAC20 QJY2:QJY20 QTU2:QTU20 RDQ2:RDQ20 RNM2:RNM20 RXI2:RXI20 SHE2:SHE20 SRA2:SRA20 TAW2:TAW20 TKS2:TKS20 TUO2:TUO20 UEK2:UEK20 UOG2:UOG20 UYC2:UYC20 VHY2:VHY20 VRU2:VRU20 WBQ2:WBQ20 WLM2:WLM20 WLM22:WLM42">
      <formula1>"READ_ME,PREPREG,CORE,FOIL,FLEX_CLAD,ADHESIVE,COVER_FILM,EMI_SHIELDING_FILM,GENERAL_ACCESSORY,BONDPLY,CUSTOMER,DRILL_BIT,MRP_STEP,LAMINATE &amp; METAL SHEETS,RCF,"</formula1>
    </dataValidation>
    <dataValidation type="list" allowBlank="1" showInputMessage="1" showErrorMessage="1" sqref="IX44 ST44 ACP44 AML44 AWH44 BGD44 BPZ44 BZV44 CJR44 CTN44 DDJ44 DNF44 DXB44 EGX44 EQT44 FAP44 FKL44 FUH44 GED44 GNZ44 GXV44 HHR44 HRN44 IBJ44 ILF44 IVB44 JEX44 JOT44 JYP44 KIL44 KSH44 LCD44 LLZ44 LVV44 MFR44 MPN44 MZJ44 NJF44 NTB44 OCX44 OMT44 OWP44 PGL44 PQH44 QAD44 QJZ44 QTV44 RDR44 RNN44 RXJ44 SHF44 SRB44 TAX44 TKT44 TUP44 UEL44 UOH44 UYD44 VHZ44 VRV44 WBR44 WLN44 WVJ44">
      <formula1>$K24:$K78</formula1>
    </dataValidation>
    <dataValidation type="list" allowBlank="1" showErrorMessage="1" sqref="SU44:SU51 ACQ44:ACQ51 AMM44:AMM51 AWI44:AWI51 BGE44:BGE51 BQA44:BQA51 BZW44:BZW51 CJS44:CJS51 CTO44:CTO51 DDK44:DDK51 DNG44:DNG51 DXC44:DXC51 EGY44:EGY51 EQU44:EQU51 FAQ44:FAQ51 FKM44:FKM51 FUI44:FUI51 GEE44:GEE51 GOA44:GOA51 GXW44:GXW51 HHS44:HHS51 HRO44:HRO51 IBK44:IBK51 ILG44:ILG51 IVC44:IVC51 JEY44:JEY51 JOU44:JOU51 JYQ44:JYQ51 KIM44:KIM51 KSI44:KSI51 LCE44:LCE51 LMA44:LMA51 LVW44:LVW51 MFS44:MFS51 MPO44:MPO51 MZK44:MZK51 NJG44:NJG51 NTC44:NTC51 OCY44:OCY51 OMU44:OMU51 OWQ44:OWQ51 PGM44:PGM51 PQI44:PQI51 QAE44:QAE51 QKA44:QKA51 QTW44:QTW51 RDS44:RDS51 RNO44:RNO51 RXK44:RXK51 SHG44:SHG51 SRC44:SRC51 TAY44:TAY51 TKU44:TKU51 TUQ44:TUQ51 UEM44:UEM51 UOI44:UOI51 UYE44:UYE51 VIA44:VIA51 VRW44:VRW51 WBS44:WBS51 WLO44:WLO51 WVK44:WVK51 WLO22:WLO42 WBS22:WBS42 VRW22:VRW42 VIA22:VIA42 UYE22:UYE42 UOI22:UOI42 UEM22:UEM42 TUQ22:TUQ42 TKU22:TKU42 TAY22:TAY42 SRC22:SRC42 SHG22:SHG42 RXK22:RXK42 RNO22:RNO42 RDS22:RDS42 QTW22:QTW42 QKA22:QKA42 QAE22:QAE42 PQI22:PQI42 PGM22:PGM42 OWQ22:OWQ42 OMU22:OMU42 OCY22:OCY42 NTC22:NTC42 NJG22:NJG42 MZK22:MZK42 MPO22:MPO42 MFS22:MFS42 LVW22:LVW42 LMA22:LMA42 LCE22:LCE42 KSI22:KSI42 KIM22:KIM42 JYQ22:JYQ42 JOU22:JOU42 JEY22:JEY42 IVC22:IVC42 ILG22:ILG42 IBK22:IBK42 HRO22:HRO42 HHS22:HHS42 GXW22:GXW42 GOA22:GOA42 GEE22:GEE42 FUI22:FUI42 FKM22:FKM42 FAQ22:FAQ42 EQU22:EQU42 EGY22:EGY42 DXC22:DXC42 DNG22:DNG42 DDK22:DDK42 CTO22:CTO42 CJS22:CJS42 BZW22:BZW42 BQA22:BQA42 BGE22:BGE42 AWI22:AWI42 AMM22:AMM42 ACQ22:ACQ42 SU22:SU42 IY22:IY42 IY44:IY51 IY2:IY20 SU2:SU20 ACQ2:ACQ20 AMM2:AMM20 AWI2:AWI20 BGE2:BGE20 BQA2:BQA20 BZW2:BZW20 CJS2:CJS20 CTO2:CTO20 DDK2:DDK20 DNG2:DNG20 DXC2:DXC20 EGY2:EGY20 EQU2:EQU20 FAQ2:FAQ20 FKM2:FKM20 FUI2:FUI20 GEE2:GEE20 GOA2:GOA20 GXW2:GXW20 HHS2:HHS20 HRO2:HRO20 IBK2:IBK20 ILG2:ILG20 IVC2:IVC20 JEY2:JEY20 JOU2:JOU20 JYQ2:JYQ20 KIM2:KIM20 KSI2:KSI20 LCE2:LCE20 LMA2:LMA20 LVW2:LVW20 MFS2:MFS20 MPO2:MPO20 MZK2:MZK20 NJG2:NJG20 NTC2:NTC20 OCY2:OCY20 OMU2:OMU20 OWQ2:OWQ20 PGM2:PGM20 PQI2:PQI20 QAE2:QAE20 QKA2:QKA20 QTW2:QTW20 RDS2:RDS20 RNO2:RNO20 RXK2:RXK20 SHG2:SHG20 SRC2:SRC20 TAY2:TAY20 TKU2:TKU20 TUQ2:TUQ20 UEM2:UEM20 UOI2:UOI20 UYE2:UYE20 VIA2:VIA20 VRW2:VRW20 WBS2:WBS20 WLO2:WLO20 WVK2:WVK20 WVK22:WVK42">
      <formula1>$H$2:$H$18</formula1>
    </dataValidation>
    <dataValidation type="list" allowBlank="1" showInputMessage="1" showErrorMessage="1" sqref="C44:C111 C2:C20 C22:C42">
      <formula1>$H$2:$H$14</formula1>
    </dataValidation>
    <dataValidation type="list" allowBlank="1" showInputMessage="1" showErrorMessage="1" sqref="B99">
      <formula1>$K54:$K77</formula1>
    </dataValidation>
    <dataValidation type="list" allowBlank="1" showInputMessage="1" showErrorMessage="1" sqref="B95">
      <formula1>$K54:$K78</formula1>
    </dataValidation>
    <dataValidation type="list" allowBlank="1" showInputMessage="1" showErrorMessage="1" sqref="B102">
      <formula1>$K54:$K90</formula1>
    </dataValidation>
    <dataValidation type="list" allowBlank="1" showInputMessage="1" showErrorMessage="1" sqref="B101">
      <formula1>$K54:$K95</formula1>
    </dataValidation>
    <dataValidation type="list" allowBlank="1" showInputMessage="1" showErrorMessage="1" sqref="B97">
      <formula1>$K54:$K90</formula1>
    </dataValidation>
    <dataValidation type="list" allowBlank="1" showInputMessage="1" showErrorMessage="1" sqref="B98">
      <formula1>$K55:$K92</formula1>
    </dataValidation>
    <dataValidation type="list" allowBlank="1" showInputMessage="1" showErrorMessage="1" sqref="B103:B105">
      <formula1>$K54:$K97</formula1>
    </dataValidation>
    <dataValidation type="list" allowBlank="1" showInputMessage="1" showErrorMessage="1" sqref="A103:A134">
      <formula1>"READ_ME,SITE,CORE,PREPREG,FOIL,FLEX_CLAD,COVER_FILM,ADHESIVE,BONDPLY,EMI_SHIELDING_FILM,GENERAL_ACCESSORY,MASK_MATERIAL,CUSTOMER,MRP_STEP,DRILL_BIT,LAMINATE,RCF,CUSTOM_MATERIAL"</formula1>
    </dataValidation>
    <dataValidation type="list" allowBlank="1" showInputMessage="1" showErrorMessage="1" sqref="B92">
      <formula1>$K2:$K8</formula1>
    </dataValidation>
    <dataValidation type="list" allowBlank="1" showInputMessage="1" showErrorMessage="1" sqref="B94">
      <formula1>$K2:$K8</formula1>
    </dataValidation>
    <dataValidation type="list" allowBlank="1" showInputMessage="1" showErrorMessage="1" sqref="B109:B111">
      <formula1>$K2:$K18</formula1>
    </dataValidation>
    <dataValidation type="list" allowBlank="1" showInputMessage="1" showErrorMessage="1" sqref="A101:A102">
      <formula1>"READ_ME,SITE,CORE,PREPREG,FOIL,FLEX_CLAD,COVER_FILM,ADHESIVE,BONDPLY,EMI_SHIELDING_FILM,GENERAL_ACCESSORY,MASK_MATERIAL,CUSTOM_MATERIAL,MRP_STEP,CUSTOMER,DRILL_BIT,LAMINATE,RCF,"</formula1>
    </dataValidation>
    <dataValidation type="list" allowBlank="1" showInputMessage="1" showErrorMessage="1" sqref="B43 IX43 ST43 ACP43 AML43 AWH43 BGD43 BPZ43 BZV43 CJR43 CTN43 DDJ43 DNF43 DXB43 EGX43 EQT43 FAP43 FKL43 FUH43 GED43 GNZ43 GXV43 HHR43 HRN43 IBJ43 ILF43 IVB43 JEX43 JOT43 JYP43 KIL43 KSH43 LCD43 LLZ43 LVV43 MFR43 MPN43 MZJ43 NJF43 NTB43 OCX43 OMT43 OWP43 PGL43 PQH43 QAD43 QJZ43 QTV43 RDR43 RNN43 RXJ43 SHF43 SRB43 TAX43 TKT43 TUP43 UEL43 UOH43 UYD43 VHZ43 VRV43 WBR43 WLN43 WVJ43">
      <formula1>$K46:$K65545</formula1>
    </dataValidation>
    <dataValidation type="list" allowBlank="1" showInputMessage="1" showErrorMessage="1" sqref="IW21 IW43 SS43 ACO43 AMK43 AWG43 BGC43 BPY43 BZU43 CJQ43 CTM43 DDI43 DNE43 DXA43 EGW43 EQS43 FAO43 FKK43 FUG43 GEC43 GNY43 GXU43 HHQ43 HRM43 IBI43 ILE43 IVA43 JEW43 JOS43 JYO43 KIK43 KSG43 LCC43 LLY43 LVU43 MFQ43 MPM43 MZI43 NJE43 NTA43 OCW43 OMS43 OWO43 PGK43 PQG43 QAC43 QJY43 QTU43 RDQ43 RNM43 RXI43 SHE43 SRA43 TAW43 TKS43 TUO43 UEK43 UOG43 UYC43 VHY43 VRU43 WBQ43 WLM43 WVI43 SS21 ACO21 AMK21 AWG21 BGC21 BPY21 BZU21 CJQ21 CTM21 DDI21 DNE21 DXA21 EGW21 EQS21 FAO21 FKK21 FUG21 GEC21 GNY21 GXU21 HHQ21 HRM21 IBI21 ILE21 IVA21 JEW21 JOS21 JYO21 KIK21 KSG21 LCC21 LLY21 LVU21 MFQ21 MPM21 MZI21 NJE21 NTA21 OCW21 OMS21 OWO21 PGK21 PQG21 QAC21 QJY21 QTU21 RDQ21 RNM21 RXI21 SHE21 SRA21 TAW21 TKS21 TUO21 UEK21 UOG21 UYC21 VHY21 VRU21 WBQ21 WLM21 WVI21">
      <formula1>"问题,READ_ME,FOIL,PREPREG,CORE,DRILL_BIT,MRP_STEP,CUSTOMER,MASK_MATERIAL,CUSTOM_MATERIAL,LAMINATE,FLEX_CLAD,COVER_FILM,ADHESIVE,EMI_SHIELDING_FILM,GENERAL_ACCESSORY,RCF,BONDPLY,"</formula1>
    </dataValidation>
    <dataValidation type="list" allowBlank="1" showErrorMessage="1" sqref="C43 IY43 SU43 ACQ43 AMM43 AWI43 BGE43 BQA43 BZW43 CJS43 CTO43 DDK43 DNG43 DXC43 EGY43 EQU43 FAQ43 FKM43 FUI43 GEE43 GOA43 GXW43 HHS43 HRO43 IBK43 ILG43 IVC43 JEY43 JOU43 JYQ43 KIM43 KSI43 LCE43 LMA43 LVW43 MFS43 MPO43 MZK43 NJG43 NTC43 OCY43 OMU43 OWQ43 PGM43 PQI43 QAE43 QKA43 QTW43 RDS43 RNO43 RXK43 SHG43 SRC43 TAY43 TKU43 TUQ43 UEM43 UOI43 UYE43 VIA43 VRW43 WBS43 WLO43 WVK43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C21 IY21">
      <formula1>$H$2:$H$10</formula1>
      <formula2>0</formula2>
    </dataValidation>
    <dataValidation type="list" allowBlank="1" showInputMessage="1" showErrorMessage="1" sqref="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IX21 B21">
      <formula1>$K4:$K36</formula1>
    </dataValidation>
    <dataValidation type="list" allowBlank="1" showInputMessage="1" showErrorMessage="1" sqref="WVJ2 WLN2 WBR2 VRV2 VHZ2 UYD2 UOH2 UEL2 TUP2 TKT2 TAX2 SRB2 SHF2 RXJ2 RNN2 RDR2 QTV2 QJZ2 QAD2 PQH2 PGL2 OWP2 OMT2 OCX2 NTB2 NJF2 MZJ2 MPN2 MFR2 LVV2 LLZ2 LCD2 KSH2 KIL2 JYP2 JOT2 JEX2 IVB2 ILF2 IBJ2 HRN2 HHR2 GXV2 GNZ2 GED2 FUH2 FKL2 FAP2 EQT2 EGX2 DXB2 DNF2 DDJ2 CTN2 CJR2 BZV2 BPZ2 BGD2 AWH2 AML2 ACP2 ST2 IX2">
      <formula1>$K2:$K35</formula1>
    </dataValidation>
    <dataValidation type="list" allowBlank="1" showInputMessage="1" showErrorMessage="1" sqref="WVJ4 WLN4 WBR4 VRV4 VHZ4 UYD4 UOH4 UEL4 TUP4 TKT4 TAX4 SRB4 SHF4 RXJ4 RNN4 RDR4 QTV4 QJZ4 QAD4 PQH4 PGL4 OWP4 OMT4 OCX4 NTB4 NJF4 MZJ4 MPN4 MFR4 LVV4 LLZ4 LCD4 KSH4 KIL4 JYP4 JOT4 JEX4 IVB4 ILF4 IBJ4 HRN4 HHR4 GXV4 GNZ4 GED4 FUH4 FKL4 FAP4 EQT4 EGX4 DXB4 DNF4 DDJ4 CTN4 CJR4 BZV4 BPZ4 BGD4 AWH4 AML4 ACP4 ST4 IX4">
      <formula1>$K2:$K35</formula1>
    </dataValidation>
    <dataValidation type="list" allowBlank="1" showInputMessage="1" showErrorMessage="1" sqref="B3 WVJ3 WLN3 WBR3 VRV3 VHZ3 UYD3 UOH3 UEL3 TUP3 TKT3 TAX3 SRB3 SHF3 RXJ3 RNN3 RDR3 QTV3 QJZ3 QAD3 PQH3 PGL3 OWP3 OMT3 OCX3 NTB3 NJF3 MZJ3 MPN3 MFR3 LVV3 LLZ3 LCD3 KSH3 KIL3 JYP3 JOT3 JEX3 IVB3 ILF3 IBJ3 HRN3 HHR3 GXV3 GNZ3 GED3 FUH3 FKL3 FAP3 EQT3 EGX3 DXB3 DNF3 DDJ3 CTN3 CJR3 BZV3 BPZ3 BGD3 AWH3 AML3 ACP3 ST3 IX3">
      <formula1>$K2:$K35</formula1>
    </dataValidation>
    <dataValidation type="list" allowBlank="1" showInputMessage="1" showErrorMessage="1" sqref="WVJ6 IX8 WLN6 WBR6 VRV6 VHZ6 UYD6 UOH6 UEL6 TUP6 TKT6 TAX6 SRB6 SHF6 RXJ6 RNN6 RDR6 QTV6 QJZ6 QAD6 PQH6 PGL6 OWP6 OMT6 OCX6 NTB6 NJF6 MZJ6 MPN6 MFR6 LVV6 LLZ6 LCD6 KSH6 KIL6 JYP6 JOT6 JEX6 IVB6 ILF6 IBJ6 HRN6 HHR6 GXV6 GNZ6 GED6 FUH6 FKL6 FAP6 EQT6 EGX6 DXB6 DNF6 DDJ6 CTN6 CJR6 BZV6 BPZ6 BGD6 AWH6 AML6 ACP6 ST6 IX6 WVJ8 B8 WLN8 WBR8 VRV8 VHZ8 UYD8 UOH8 UEL8 TUP8 TKT8 TAX8 SRB8 SHF8 RXJ8 RNN8 RDR8 QTV8 QJZ8 QAD8 PQH8 PGL8 OWP8 OMT8 OCX8 NTB8 NJF8 MZJ8 MPN8 MFR8 LVV8 LLZ8 LCD8 KSH8 KIL8 JYP8 JOT8 JEX8 IVB8 ILF8 IBJ8 HRN8 HHR8 GXV8 GNZ8 GED8 FUH8 FKL8 FAP8 EQT8 EGX8 DXB8 DNF8 DDJ8 CTN8 CJR8 BZV8 BPZ8 BGD8 AWH8 AML8 ACP8 ST8">
      <formula1>$K2:$K35</formula1>
    </dataValidation>
    <dataValidation type="list" allowBlank="1" showInputMessage="1" showErrorMessage="1" sqref="B5 WVJ5 WLN5 WBR5 VRV5 VHZ5 UYD5 UOH5 UEL5 TUP5 TKT5 TAX5 SRB5 SHF5 RXJ5 RNN5 RDR5 QTV5 QJZ5 QAD5 PQH5 PGL5 OWP5 OMT5 OCX5 NTB5 NJF5 MZJ5 MPN5 MFR5 LVV5 LLZ5 LCD5 KSH5 KIL5 JYP5 JOT5 JEX5 IVB5 ILF5 IBJ5 HRN5 HHR5 GXV5 GNZ5 GED5 FUH5 FKL5 FAP5 EQT5 EGX5 DXB5 DNF5 DDJ5 CTN5 CJR5 BZV5 BPZ5 BGD5 AWH5 AML5 ACP5 ST5 IX5">
      <formula1>$K2:$K35</formula1>
    </dataValidation>
    <dataValidation type="list" allowBlank="1" showInputMessage="1" showErrorMessage="1" sqref="WVJ7 WLN7 WBR7 VRV7 VHZ7 UYD7 UOH7 UEL7 TUP7 TKT7 TAX7 SRB7 SHF7 RXJ7 RNN7 RDR7 QTV7 QJZ7 QAD7 PQH7 PGL7 OWP7 OMT7 OCX7 NTB7 NJF7 MZJ7 MPN7 MFR7 LVV7 LLZ7 LCD7 KSH7 KIL7 JYP7 JOT7 JEX7 IVB7 ILF7 IBJ7 HRN7 HHR7 GXV7 GNZ7 GED7 FUH7 FKL7 FAP7 EQT7 EGX7 DXB7 DNF7 DDJ7 CTN7 CJR7 BZV7 BPZ7 BGD7 AWH7 AML7 ACP7 ST7 IX7 B7 WVJ9 WLN9 WBR9 VRV9 VHZ9 UYD9 UOH9 UEL9 TUP9 TKT9 TAX9 SRB9 SHF9 RXJ9 RNN9 RDR9 QTV9 QJZ9 QAD9 PQH9 PGL9 OWP9 OMT9 OCX9 NTB9 NJF9 MZJ9 MPN9 MFR9 LVV9 LLZ9 LCD9 KSH9 KIL9 JYP9 JOT9 JEX9 IVB9 ILF9 IBJ9 HRN9 HHR9 GXV9 GNZ9 GED9 FUH9 FKL9 FAP9 EQT9 EGX9 DXB9 DNF9 DDJ9 CTN9 CJR9 BZV9 BPZ9 BGD9 AWH9 AML9 ACP9 ST9 IX9 B9">
      <formula1>$K2:$K35</formula1>
    </dataValidation>
    <dataValidation type="list" allowBlank="1" showInputMessage="1" showErrorMessage="1" sqref="B17 WVJ17 WLN17 WBR17 VRV17 VHZ17 UYD17 UOH17 UEL17 TUP17 TKT17 TAX17 SRB17 SHF17 RXJ17 RNN17 RDR17 QTV17 QJZ17 QAD17 PQH17 PGL17 OWP17 OMT17 OCX17 NTB17 NJF17 MZJ17 MPN17 MFR17 LVV17 LLZ17 LCD17 KSH17 KIL17 JYP17 JOT17 JEX17 IVB17 ILF17 IBJ17 HRN17 HHR17 GXV17 GNZ17 GED17 FUH17 FKL17 FAP17 EQT17 EGX17 DXB17 DNF17 DDJ17 CTN17 CJR17 BZV17 BPZ17 BGD17 AWH17 AML17 ACP17 ST17 IX17">
      <formula1>$K2:$K50</formula1>
    </dataValidation>
    <dataValidation type="list" allowBlank="1" showInputMessage="1" showErrorMessage="1" sqref="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formula1>$K4:$K53</formula1>
    </dataValidation>
    <dataValidation type="list" allowBlank="1" showInputMessage="1" showErrorMessage="1" sqref="IX12 WVJ12 WLN12 WBR12 VRV12 VHZ12 UYD12 UOH12 UEL12 TUP12 TKT12 TAX12 SRB12 SHF12 RXJ12 RNN12 RDR12 QTV12 QJZ12 QAD12 PQH12 PGL12 OWP12 OMT12 OCX12 NTB12 NJF12 MZJ12 MPN12 MFR12 LVV12 LLZ12 LCD12 KSH12 KIL12 JYP12 JOT12 JEX12 IVB12 ILF12 IBJ12 HRN12 HHR12 GXV12 GNZ12 GED12 FUH12 FKL12 FAP12 EQT12 EGX12 DXB12 DNF12 DDJ12 CTN12 CJR12 BZV12 BPZ12 BGD12 AWH12 AML12 ACP12 ST12">
      <formula1>$K2:$K50</formula1>
    </dataValidation>
    <dataValidation type="list" allowBlank="1" showInputMessage="1" showErrorMessage="1" sqref="IX11 WVJ11 WLN11 WBR11 VRV11 VHZ11 UYD11 UOH11 UEL11 TUP11 TKT11 TAX11 SRB11 SHF11 RXJ11 RNN11 RDR11 QTV11 QJZ11 QAD11 PQH11 PGL11 OWP11 OMT11 OCX11 NTB11 NJF11 MZJ11 MPN11 MFR11 LVV11 LLZ11 LCD11 KSH11 KIL11 JYP11 JOT11 JEX11 IVB11 ILF11 IBJ11 HRN11 HHR11 GXV11 GNZ11 GED11 FUH11 FKL11 FAP11 EQT11 EGX11 DXB11 DNF11 DDJ11 CTN11 CJR11 BZV11 BPZ11 BGD11 AWH11 AML11 ACP11 ST11">
      <formula1>$K2:$K50</formula1>
    </dataValidation>
    <dataValidation type="list" allowBlank="1" showInputMessage="1" showErrorMessage="1" sqref="B10 WVJ10 WLN10 WBR10 VRV10 VHZ10 UYD10 UOH10 UEL10 TUP10 TKT10 TAX10 SRB10 SHF10 RXJ10 RNN10 RDR10 QTV10 QJZ10 QAD10 PQH10 PGL10 OWP10 OMT10 OCX10 NTB10 NJF10 MZJ10 MPN10 MFR10 LVV10 LLZ10 LCD10 KSH10 KIL10 JYP10 JOT10 JEX10 IVB10 ILF10 IBJ10 HRN10 HHR10 GXV10 GNZ10 GED10 FUH10 FKL10 FAP10 EQT10 EGX10 DXB10 DNF10 DDJ10 CTN10 CJR10 BZV10 BPZ10 BGD10 AWH10 AML10 ACP10 ST10 IX10">
      <formula1>$K2:$K50</formula1>
    </dataValidation>
    <dataValidation type="list" allowBlank="1" showInputMessage="1" showErrorMessage="1" sqref="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formula1>$K2:$K57</formula1>
    </dataValidation>
    <dataValidation type="list" allowBlank="1" showInputMessage="1" showErrorMessage="1" sqref="WVJ26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formula1>$K2:$K57</formula1>
    </dataValidation>
    <dataValidation type="list" allowBlank="1" showInputMessage="1" showErrorMessage="1" sqref="B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formula1>$K2:$K57</formula1>
    </dataValidation>
    <dataValidation type="list" allowBlank="1" showInputMessage="1" showErrorMessage="1" sqref="B6">
      <formula1>$K2:$K33</formula1>
    </dataValidation>
    <dataValidation type="list" allowBlank="1" showInputMessage="1" showErrorMessage="1" sqref="B52">
      <formula1>$K2:$K56</formula1>
    </dataValidation>
    <dataValidation type="list" allowBlank="1" showInputMessage="1" showErrorMessage="1" sqref="B53">
      <formula1>$K2:$K56</formula1>
    </dataValidation>
    <dataValidation type="list" allowBlank="1" showInputMessage="1" showErrorMessage="1" sqref="B54">
      <formula1>$K2:$K56</formula1>
    </dataValidation>
    <dataValidation type="list" allowBlank="1" showInputMessage="1" showErrorMessage="1" sqref="B55">
      <formula1>$K2:$K56</formula1>
    </dataValidation>
    <dataValidation type="list" allowBlank="1" showInputMessage="1" showErrorMessage="1" sqref="B56">
      <formula1>$K2:$K56</formula1>
    </dataValidation>
    <dataValidation type="list" allowBlank="1" showInputMessage="1" showErrorMessage="1" sqref="B57">
      <formula1>$K2:$K56</formula1>
    </dataValidation>
    <dataValidation type="list" allowBlank="1" showInputMessage="1" showErrorMessage="1" sqref="B58">
      <formula1>$K2:$K56</formula1>
    </dataValidation>
    <dataValidation type="list" allowBlank="1" showInputMessage="1" showErrorMessage="1" sqref="B59">
      <formula1>$K2:$K56</formula1>
    </dataValidation>
    <dataValidation type="list" allowBlank="1" showInputMessage="1" showErrorMessage="1" sqref="B75">
      <formula1>$K2:$K30</formula1>
    </dataValidation>
    <dataValidation type="list" allowBlank="1" showInputMessage="1" showErrorMessage="1" sqref="B76">
      <formula1>$K2:$K30</formula1>
    </dataValidation>
    <dataValidation type="list" allowBlank="1" showInputMessage="1" showErrorMessage="1" sqref="B63">
      <formula1>$K2:$K35</formula1>
    </dataValidation>
    <dataValidation type="list" allowBlank="1" showInputMessage="1" showErrorMessage="1" sqref="B64">
      <formula1>$K2:$K35</formula1>
    </dataValidation>
    <dataValidation type="list" allowBlank="1" showInputMessage="1" showErrorMessage="1" sqref="B65">
      <formula1>$K2:$K35</formula1>
    </dataValidation>
    <dataValidation type="list" allowBlank="1" showInputMessage="1" showErrorMessage="1" sqref="B67">
      <formula1>$K2:$K35</formula1>
    </dataValidation>
    <dataValidation type="list" allowBlank="1" showInputMessage="1" showErrorMessage="1" sqref="B77">
      <formula1>$K2:$K31</formula1>
    </dataValidation>
    <dataValidation type="list" allowBlank="1" showInputMessage="1" showErrorMessage="1" sqref="B88">
      <formula1>$K2:$K30</formula1>
    </dataValidation>
    <dataValidation type="list" allowBlank="1" showInputMessage="1" showErrorMessage="1" sqref="B89">
      <formula1>$K2:$K30</formula1>
    </dataValidation>
    <dataValidation type="list" allowBlank="1" showInputMessage="1" showErrorMessage="1" sqref="B90">
      <formula1>$K2:$K30</formula1>
    </dataValidation>
    <dataValidation type="list" allowBlank="1" showInputMessage="1" showErrorMessage="1" sqref="B82">
      <formula1>$K2:$K29</formula1>
    </dataValidation>
    <dataValidation type="list" allowBlank="1" showInputMessage="1" showErrorMessage="1" sqref="B83">
      <formula1>$K2:$K29</formula1>
    </dataValidation>
    <dataValidation type="list" allowBlank="1" showInputMessage="1" showErrorMessage="1" sqref="B84">
      <formula1>$K2:$K29</formula1>
    </dataValidation>
    <dataValidation type="list" allowBlank="1" showInputMessage="1" showErrorMessage="1" sqref="B85">
      <formula1>$K2:$K29</formula1>
    </dataValidation>
    <dataValidation type="list" allowBlank="1" showInputMessage="1" showErrorMessage="1" sqref="B60">
      <formula1>$K2:$K58</formula1>
    </dataValidation>
    <dataValidation type="list" allowBlank="1" showInputMessage="1" showErrorMessage="1" sqref="B61">
      <formula1>$K2:$K58</formula1>
    </dataValidation>
    <dataValidation type="list" allowBlank="1" showInputMessage="1" showErrorMessage="1" sqref="B66">
      <formula1>$K2:$K36</formula1>
    </dataValidation>
    <dataValidation type="list" allowBlank="1" showInputMessage="1" showErrorMessage="1" sqref="B68">
      <formula1>$K2:$K36</formula1>
    </dataValidation>
    <dataValidation type="list" allowBlank="1" showInputMessage="1" showErrorMessage="1" sqref="B78">
      <formula1>$K2:$K32</formula1>
    </dataValidation>
    <dataValidation type="list" allowBlank="1" showInputMessage="1" showErrorMessage="1" sqref="B73">
      <formula1>$K2:$K28</formula1>
    </dataValidation>
    <dataValidation type="list" allowBlank="1" showInputMessage="1" showErrorMessage="1" sqref="B79">
      <formula1>$K2:$K32</formula1>
    </dataValidation>
    <dataValidation type="list" allowBlank="1" showInputMessage="1" showErrorMessage="1" sqref="B86">
      <formula1>$K2:$K30</formula1>
    </dataValidation>
    <dataValidation type="list" allowBlank="1" showInputMessage="1" showErrorMessage="1" sqref="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ST19 IX19">
      <formula1>$K4:$K53</formula1>
    </dataValidation>
    <dataValidation type="list" allowBlank="1" showInputMessage="1" showErrorMessage="1" sqref="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IX18 ST18">
      <formula1>$K8:$K57</formula1>
    </dataValidation>
    <dataValidation type="list" allowBlank="1" showInputMessage="1" showErrorMessage="1" sqref="B51">
      <formula1>$K2:$K29</formula1>
    </dataValidation>
    <dataValidation type="list" allowBlank="1" showInputMessage="1" showErrorMessage="1" sqref="B62">
      <formula1>$K2:$K49</formula1>
    </dataValidation>
    <dataValidation type="list" allowBlank="1" showInputMessage="1" showErrorMessage="1" sqref="B69">
      <formula1>$K2:$K36</formula1>
    </dataValidation>
    <dataValidation type="list" allowBlank="1" showInputMessage="1" showErrorMessage="1" sqref="B74">
      <formula1>$K2:$K28</formula1>
    </dataValidation>
    <dataValidation type="list" allowBlank="1" showInputMessage="1" showErrorMessage="1" sqref="B80">
      <formula1>$K2:$K32</formula1>
    </dataValidation>
    <dataValidation type="list" allowBlank="1" showInputMessage="1" showErrorMessage="1" sqref="B87">
      <formula1>$K2:$K30</formula1>
    </dataValidation>
    <dataValidation type="list" allowBlank="1" showInputMessage="1" showErrorMessage="1" sqref="B91">
      <formula1>$K2:$K30</formula1>
    </dataValidation>
    <dataValidation type="list" allowBlank="1" showInputMessage="1" showErrorMessage="1" sqref="B44">
      <formula1>$K2:$K29</formula1>
    </dataValidation>
    <dataValidation type="list" allowBlank="1" showInputMessage="1" showErrorMessage="1" sqref="B45">
      <formula1>$K2:$K29</formula1>
    </dataValidation>
    <dataValidation type="list" allowBlank="1" showInputMessage="1" showErrorMessage="1" sqref="B39">
      <formula1>$K2:$K85</formula1>
    </dataValidation>
    <dataValidation type="list" allowBlank="1" showInputMessage="1" showErrorMessage="1" sqref="B40">
      <formula1>$K2:$K85</formula1>
    </dataValidation>
    <dataValidation type="list" allowBlank="1" showInputMessage="1" showErrorMessage="1" sqref="B41">
      <formula1>$K2:$K85</formula1>
    </dataValidation>
    <dataValidation type="list" allowBlank="1" showInputMessage="1" showErrorMessage="1" sqref="B42">
      <formula1>$K2:$K85</formula1>
    </dataValidation>
    <dataValidation type="list" allowBlank="1" showInputMessage="1" showErrorMessage="1" sqref="B24">
      <formula1>$K2:$K98</formula1>
    </dataValidation>
    <dataValidation type="list" allowBlank="1" showInputMessage="1" showErrorMessage="1" sqref="B18">
      <formula1>$K2:$K90</formula1>
    </dataValidation>
    <dataValidation type="list" allowBlank="1" showInputMessage="1" showErrorMessage="1" sqref="B19">
      <formula1>$K2:$K94</formula1>
    </dataValidation>
    <dataValidation type="list" allowBlank="1" showInputMessage="1" showErrorMessage="1" sqref="B20">
      <formula1>$K2:$K95</formula1>
    </dataValidation>
    <dataValidation type="list" allowBlank="1" showInputMessage="1" showErrorMessage="1" sqref="B13">
      <formula1>$K2:$K95</formula1>
    </dataValidation>
    <dataValidation type="list" allowBlank="1" showInputMessage="1" showErrorMessage="1" sqref="B38">
      <formula1>$K2:$K121</formula1>
    </dataValidation>
    <dataValidation type="list" allowBlank="1" showInputMessage="1" showErrorMessage="1" sqref="B35">
      <formula1>$K2:$K113</formula1>
    </dataValidation>
    <dataValidation type="list" allowBlank="1" showInputMessage="1" showErrorMessage="1" sqref="B36">
      <formula1>$K2:$K113</formula1>
    </dataValidation>
    <dataValidation type="list" allowBlank="1" showInputMessage="1" showErrorMessage="1" sqref="B34">
      <formula1>$K2:$K113</formula1>
    </dataValidation>
    <dataValidation type="list" allowBlank="1" showInputMessage="1" showErrorMessage="1" sqref="B15">
      <formula1>$K2:$K90</formula1>
    </dataValidation>
    <dataValidation type="list" allowBlank="1" showInputMessage="1" showErrorMessage="1" sqref="B22">
      <formula1>$K2:$K114</formula1>
    </dataValidation>
    <dataValidation type="list" allowBlank="1" showInputMessage="1" showErrorMessage="1" sqref="B108">
      <formula1>$K2:$K46</formula1>
    </dataValidation>
    <dataValidation type="list" allowBlank="1" showInputMessage="1" showErrorMessage="1" sqref="B2">
      <formula1>$K2:$K27</formula1>
    </dataValidation>
    <dataValidation type="list" allowBlank="1" showInputMessage="1" showErrorMessage="1" sqref="B4">
      <formula1>$K2:$K27</formula1>
    </dataValidation>
    <dataValidation type="list" allowBlank="1" showInputMessage="1" showErrorMessage="1" sqref="B12">
      <formula1>$K2:$K90</formula1>
    </dataValidation>
    <dataValidation type="list" allowBlank="1" showInputMessage="1" showErrorMessage="1" sqref="B26">
      <formula1>$K2:$K114</formula1>
    </dataValidation>
    <dataValidation type="list" allowBlank="1" showInputMessage="1" showErrorMessage="1" sqref="B11">
      <formula1>$K2:$K90</formula1>
    </dataValidation>
    <dataValidation type="list" allowBlank="1" showInputMessage="1" showErrorMessage="1" sqref="B16">
      <formula1>$K2:$K90</formula1>
    </dataValidation>
    <dataValidation type="list" allowBlank="1" showInputMessage="1" showErrorMessage="1" sqref="B93">
      <formula1>$K2:$K46</formula1>
    </dataValidation>
    <dataValidation type="list" allowBlank="1" showInputMessage="1" showErrorMessage="1" sqref="B81">
      <formula1>$K2:$K30</formula1>
    </dataValidation>
    <dataValidation type="list" allowBlank="1" showInputMessage="1" showErrorMessage="1" sqref="IX22 ST22 ACP22 AML22 AWH22 BGD22 BPZ22 BZV22 CJR22 CTN22 DDJ22 DNF22 DXB22 EGX22 EQT22 FAP22 FKL22 FUH22 GED22 GNZ22 GXV22 HHR22 HRN22 IBJ22 ILF22 IVB22 JEX22 JOT22 JYP22 KIL22 KSH22 LCD22 LLZ22 LVV22 MFR22 MPN22 MZJ22 NJF22 NTB22 OCX22 OMT22 OWP22 PGL22 PQH22 QAD22 QJZ22 QTV22 RDR22 RNN22 RXJ22 SHF22 SRB22 TAX22 TKT22 TUP22 UEL22 UOH22 UYD22 VHZ22 VRV22 WBR22 WLN22 WVJ22">
      <formula1>$K2:$K57</formula1>
    </dataValidation>
    <dataValidation type="list" allowBlank="1" showInputMessage="1" showErrorMessage="1" sqref="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3 A4 A5 A6">
      <formula1>"READ_ME,SITE,CORE,PREPREG,FOIL,FLEX_CLAD,COVER_FILM,ADHESIVE,BONDPLY,EMI_SHIELDING_FILM,GENERAL_ACCESSORY,MRP_STEP,CUSTOMER,MASK_MATERIAL,DRILL_BIT,CUSTOM_MATERIAL,LAMINATE,RCF,"</formula1>
    </dataValidation>
  </dataValidation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85"/>
  <sheetViews>
    <sheetView zoomScaleNormal="100" workbookViewId="0">
      <selection activeCell="E25" sqref="E25"/>
    </sheetView>
  </sheetViews>
  <sheetFormatPr defaultColWidth="8.85546875" defaultRowHeight="12.75"/>
  <cols>
    <col min="1" max="1" width="16.7109375" style="64" customWidth="1"/>
    <col min="2" max="2" width="11.7109375" style="64" bestFit="1" customWidth="1"/>
    <col min="3" max="3" width="10.85546875" bestFit="1" customWidth="1"/>
    <col min="4" max="5" width="15.7109375" bestFit="1" customWidth="1"/>
    <col min="6" max="6" width="15.7109375" style="64" bestFit="1" customWidth="1"/>
    <col min="7" max="7" width="15.5703125" style="64" bestFit="1" customWidth="1"/>
    <col min="8" max="10" width="7.5703125" bestFit="1" customWidth="1"/>
  </cols>
  <sheetData>
    <row r="1" spans="1:7" ht="25.5" customHeight="1">
      <c r="A1" s="177" t="s">
        <v>179</v>
      </c>
      <c r="B1" s="177" t="s">
        <v>180</v>
      </c>
      <c r="C1" s="177" t="s">
        <v>181</v>
      </c>
      <c r="D1" s="177" t="s">
        <v>182</v>
      </c>
      <c r="E1" s="177" t="s">
        <v>452</v>
      </c>
      <c r="F1" s="177" t="s">
        <v>453</v>
      </c>
      <c r="G1" s="177" t="s">
        <v>183</v>
      </c>
    </row>
    <row r="2" spans="1:7">
      <c r="A2" s="64">
        <v>0</v>
      </c>
      <c r="B2" s="64">
        <v>0</v>
      </c>
      <c r="C2" s="65">
        <v>0</v>
      </c>
      <c r="D2" s="66">
        <v>0</v>
      </c>
      <c r="E2" s="66">
        <v>0</v>
      </c>
      <c r="F2" s="64">
        <v>0</v>
      </c>
      <c r="G2" s="64">
        <v>0</v>
      </c>
    </row>
    <row r="3" spans="1:7">
      <c r="A3" s="64">
        <v>0.15</v>
      </c>
      <c r="B3" s="64" t="s">
        <v>184</v>
      </c>
      <c r="C3" s="65" t="s">
        <v>185</v>
      </c>
      <c r="D3" s="66">
        <v>5</v>
      </c>
      <c r="E3" s="66">
        <v>5</v>
      </c>
      <c r="F3" s="122">
        <v>0.2</v>
      </c>
      <c r="G3" s="64">
        <v>0.19700000000000001</v>
      </c>
    </row>
    <row r="4" spans="1:7">
      <c r="A4" s="64">
        <v>0.25</v>
      </c>
      <c r="B4" s="64" t="s">
        <v>186</v>
      </c>
      <c r="C4" s="65" t="s">
        <v>187</v>
      </c>
      <c r="D4" s="66">
        <v>8</v>
      </c>
      <c r="E4" s="213">
        <v>9</v>
      </c>
      <c r="F4" s="122">
        <v>0.34</v>
      </c>
      <c r="G4" s="64">
        <v>0.33800000000000002</v>
      </c>
    </row>
    <row r="5" spans="1:7">
      <c r="A5" s="64">
        <v>0.33</v>
      </c>
      <c r="B5" s="277" t="s">
        <v>1463</v>
      </c>
      <c r="C5" s="65" t="s">
        <v>188</v>
      </c>
      <c r="D5" s="66">
        <v>11</v>
      </c>
      <c r="E5" s="66">
        <v>12</v>
      </c>
      <c r="F5" s="122">
        <v>0.47</v>
      </c>
      <c r="G5" s="64">
        <v>0.47299999999999998</v>
      </c>
    </row>
    <row r="6" spans="1:7">
      <c r="A6" s="64">
        <v>0.33300000000000002</v>
      </c>
      <c r="B6" s="64" t="s">
        <v>138</v>
      </c>
      <c r="C6" s="65" t="s">
        <v>188</v>
      </c>
      <c r="D6" s="66">
        <v>11</v>
      </c>
      <c r="E6" s="66">
        <v>12</v>
      </c>
      <c r="F6" s="122">
        <v>0.47</v>
      </c>
      <c r="G6" s="64">
        <v>0.47299999999999998</v>
      </c>
    </row>
    <row r="7" spans="1:7">
      <c r="A7" s="64">
        <v>0.5</v>
      </c>
      <c r="B7" s="64" t="s">
        <v>137</v>
      </c>
      <c r="C7" s="65" t="s">
        <v>189</v>
      </c>
      <c r="D7" s="66">
        <v>16</v>
      </c>
      <c r="E7" s="213">
        <v>18</v>
      </c>
      <c r="F7" s="122">
        <v>0.65</v>
      </c>
      <c r="G7" s="64">
        <v>0.67500000000000004</v>
      </c>
    </row>
    <row r="8" spans="1:7">
      <c r="A8" s="64">
        <v>0.6</v>
      </c>
      <c r="B8" s="64" t="s">
        <v>2231</v>
      </c>
      <c r="C8" s="65" t="s">
        <v>2232</v>
      </c>
      <c r="D8" s="391">
        <v>16</v>
      </c>
      <c r="E8" s="392">
        <v>21</v>
      </c>
      <c r="F8" s="122">
        <f>A8*1.35</f>
        <v>0.81</v>
      </c>
      <c r="G8" s="64">
        <f>A8*1.35</f>
        <v>0.81</v>
      </c>
    </row>
    <row r="9" spans="1:7">
      <c r="A9" s="64">
        <v>1</v>
      </c>
      <c r="B9" s="64">
        <v>1</v>
      </c>
      <c r="C9" s="65" t="str">
        <f>B9&amp;" oz"</f>
        <v>1 oz</v>
      </c>
      <c r="D9" s="66">
        <v>31</v>
      </c>
      <c r="E9" s="66">
        <f>A9*35</f>
        <v>35</v>
      </c>
      <c r="F9" s="122">
        <f>A9*1.35</f>
        <v>1.35</v>
      </c>
      <c r="G9" s="64">
        <f>A9*1.35</f>
        <v>1.35</v>
      </c>
    </row>
    <row r="10" spans="1:7">
      <c r="A10" s="64">
        <v>2</v>
      </c>
      <c r="B10" s="64">
        <v>2</v>
      </c>
      <c r="C10" s="65" t="str">
        <f t="shared" ref="C10:C18" si="0">B10&amp;" oz"</f>
        <v>2 oz</v>
      </c>
      <c r="D10" s="66">
        <v>62</v>
      </c>
      <c r="E10" s="66">
        <f t="shared" ref="E10:E18" si="1">A10*35</f>
        <v>70</v>
      </c>
      <c r="F10" s="122">
        <f t="shared" ref="F10:F18" si="2">A10*1.35</f>
        <v>2.7</v>
      </c>
      <c r="G10" s="64">
        <f t="shared" ref="G10:G18" si="3">A10*1.35</f>
        <v>2.7</v>
      </c>
    </row>
    <row r="11" spans="1:7">
      <c r="A11" s="64">
        <v>3</v>
      </c>
      <c r="B11" s="64">
        <v>3</v>
      </c>
      <c r="C11" s="65" t="str">
        <f t="shared" si="0"/>
        <v>3 oz</v>
      </c>
      <c r="D11" s="66">
        <v>93</v>
      </c>
      <c r="E11" s="66">
        <f t="shared" si="1"/>
        <v>105</v>
      </c>
      <c r="F11" s="122">
        <f t="shared" si="2"/>
        <v>4.0500000000000007</v>
      </c>
      <c r="G11" s="64">
        <f t="shared" si="3"/>
        <v>4.0500000000000007</v>
      </c>
    </row>
    <row r="12" spans="1:7">
      <c r="A12" s="64">
        <v>4</v>
      </c>
      <c r="B12" s="64">
        <v>4</v>
      </c>
      <c r="C12" s="65" t="str">
        <f t="shared" si="0"/>
        <v>4 oz</v>
      </c>
      <c r="D12" s="66">
        <v>124</v>
      </c>
      <c r="E12" s="66">
        <f t="shared" si="1"/>
        <v>140</v>
      </c>
      <c r="F12" s="122">
        <f t="shared" si="2"/>
        <v>5.4</v>
      </c>
      <c r="G12" s="64">
        <f t="shared" si="3"/>
        <v>5.4</v>
      </c>
    </row>
    <row r="13" spans="1:7">
      <c r="A13" s="64">
        <v>5</v>
      </c>
      <c r="B13" s="64">
        <v>5</v>
      </c>
      <c r="C13" s="65" t="str">
        <f t="shared" si="0"/>
        <v>5 oz</v>
      </c>
      <c r="D13" s="66">
        <v>155</v>
      </c>
      <c r="E13" s="66">
        <f t="shared" si="1"/>
        <v>175</v>
      </c>
      <c r="F13" s="122">
        <f t="shared" si="2"/>
        <v>6.75</v>
      </c>
      <c r="G13" s="64">
        <f t="shared" si="3"/>
        <v>6.75</v>
      </c>
    </row>
    <row r="14" spans="1:7">
      <c r="A14" s="64">
        <v>6</v>
      </c>
      <c r="B14" s="64">
        <v>6</v>
      </c>
      <c r="C14" s="65" t="str">
        <f t="shared" si="0"/>
        <v>6 oz</v>
      </c>
      <c r="D14" s="66">
        <v>155</v>
      </c>
      <c r="E14" s="66">
        <f t="shared" si="1"/>
        <v>210</v>
      </c>
      <c r="F14" s="122">
        <f t="shared" si="2"/>
        <v>8.1000000000000014</v>
      </c>
      <c r="G14" s="64">
        <f t="shared" si="3"/>
        <v>8.1000000000000014</v>
      </c>
    </row>
    <row r="15" spans="1:7">
      <c r="A15" s="64">
        <v>7</v>
      </c>
      <c r="B15" s="64">
        <v>7</v>
      </c>
      <c r="C15" s="65" t="str">
        <f t="shared" si="0"/>
        <v>7 oz</v>
      </c>
      <c r="D15" s="66">
        <v>155</v>
      </c>
      <c r="E15" s="66">
        <f t="shared" si="1"/>
        <v>245</v>
      </c>
      <c r="F15" s="122">
        <f t="shared" si="2"/>
        <v>9.4500000000000011</v>
      </c>
      <c r="G15" s="64">
        <f t="shared" si="3"/>
        <v>9.4500000000000011</v>
      </c>
    </row>
    <row r="16" spans="1:7">
      <c r="A16" s="64">
        <v>8</v>
      </c>
      <c r="B16" s="64">
        <v>8</v>
      </c>
      <c r="C16" s="65" t="str">
        <f t="shared" si="0"/>
        <v>8 oz</v>
      </c>
      <c r="D16" s="66">
        <v>155</v>
      </c>
      <c r="E16" s="66">
        <f t="shared" si="1"/>
        <v>280</v>
      </c>
      <c r="F16" s="122">
        <f t="shared" si="2"/>
        <v>10.8</v>
      </c>
      <c r="G16" s="64">
        <f t="shared" si="3"/>
        <v>10.8</v>
      </c>
    </row>
    <row r="17" spans="1:7">
      <c r="A17" s="64">
        <v>9</v>
      </c>
      <c r="B17" s="64">
        <v>9</v>
      </c>
      <c r="C17" s="65" t="str">
        <f t="shared" si="0"/>
        <v>9 oz</v>
      </c>
      <c r="D17" s="66">
        <v>155</v>
      </c>
      <c r="E17" s="66">
        <f t="shared" si="1"/>
        <v>315</v>
      </c>
      <c r="F17" s="122">
        <f t="shared" si="2"/>
        <v>12.15</v>
      </c>
      <c r="G17" s="64">
        <f t="shared" si="3"/>
        <v>12.15</v>
      </c>
    </row>
    <row r="18" spans="1:7">
      <c r="A18" s="64">
        <v>10</v>
      </c>
      <c r="B18" s="64">
        <v>10</v>
      </c>
      <c r="C18" s="65" t="str">
        <f t="shared" si="0"/>
        <v>10 oz</v>
      </c>
      <c r="D18" s="66">
        <v>155</v>
      </c>
      <c r="E18" s="66">
        <f t="shared" si="1"/>
        <v>350</v>
      </c>
      <c r="F18" s="122">
        <f t="shared" si="2"/>
        <v>13.5</v>
      </c>
      <c r="G18" s="64">
        <f t="shared" si="3"/>
        <v>13.5</v>
      </c>
    </row>
    <row r="20" spans="1:7">
      <c r="A20" s="400" t="s">
        <v>190</v>
      </c>
      <c r="B20" s="400"/>
    </row>
    <row r="21" spans="1:7">
      <c r="A21" s="67" t="s">
        <v>191</v>
      </c>
      <c r="B21" s="67" t="s">
        <v>192</v>
      </c>
    </row>
    <row r="22" spans="1:7">
      <c r="A22" s="68">
        <v>12</v>
      </c>
      <c r="B22" s="69">
        <v>0.5</v>
      </c>
    </row>
    <row r="23" spans="1:7">
      <c r="A23" s="68">
        <v>25</v>
      </c>
      <c r="B23" s="69">
        <v>1</v>
      </c>
    </row>
    <row r="24" spans="1:7">
      <c r="A24" s="68">
        <v>35</v>
      </c>
      <c r="B24" s="69">
        <v>1.4</v>
      </c>
    </row>
    <row r="25" spans="1:7">
      <c r="A25" s="68">
        <v>37</v>
      </c>
      <c r="B25" s="69">
        <v>1.5</v>
      </c>
    </row>
    <row r="26" spans="1:7">
      <c r="A26" s="68">
        <v>50</v>
      </c>
      <c r="B26" s="69">
        <v>2</v>
      </c>
    </row>
    <row r="27" spans="1:7">
      <c r="A27" s="68">
        <v>75</v>
      </c>
      <c r="B27" s="69">
        <v>3</v>
      </c>
    </row>
    <row r="28" spans="1:7">
      <c r="A28" s="68">
        <v>100</v>
      </c>
      <c r="B28" s="69">
        <v>4</v>
      </c>
    </row>
    <row r="29" spans="1:7">
      <c r="A29" s="68">
        <v>125</v>
      </c>
      <c r="B29" s="69">
        <v>5</v>
      </c>
    </row>
    <row r="33" spans="1:10">
      <c r="A33" s="400" t="s">
        <v>435</v>
      </c>
      <c r="B33" s="400"/>
    </row>
    <row r="34" spans="1:10">
      <c r="A34" s="400" t="s">
        <v>191</v>
      </c>
      <c r="B34" s="400"/>
      <c r="C34" s="400" t="s">
        <v>192</v>
      </c>
      <c r="D34" s="400"/>
      <c r="E34" s="400" t="s">
        <v>466</v>
      </c>
      <c r="F34" s="400"/>
      <c r="G34" s="400"/>
      <c r="H34" s="400" t="s">
        <v>467</v>
      </c>
      <c r="I34" s="400"/>
      <c r="J34" s="400"/>
    </row>
    <row r="35" spans="1:10">
      <c r="A35" s="68" t="s">
        <v>436</v>
      </c>
      <c r="B35" s="69" t="s">
        <v>437</v>
      </c>
      <c r="C35" s="64" t="s">
        <v>436</v>
      </c>
      <c r="D35" s="64" t="s">
        <v>437</v>
      </c>
      <c r="E35" t="s">
        <v>440</v>
      </c>
      <c r="F35" t="s">
        <v>438</v>
      </c>
      <c r="G35" s="64" t="s">
        <v>439</v>
      </c>
      <c r="H35" t="s">
        <v>440</v>
      </c>
      <c r="I35" t="s">
        <v>438</v>
      </c>
      <c r="J35" s="64" t="s">
        <v>439</v>
      </c>
    </row>
    <row r="36" spans="1:10">
      <c r="A36" s="64">
        <v>25</v>
      </c>
      <c r="B36" s="64">
        <v>120</v>
      </c>
      <c r="C36">
        <v>0.9</v>
      </c>
      <c r="D36">
        <v>4.7</v>
      </c>
      <c r="E36">
        <v>18</v>
      </c>
      <c r="F36">
        <v>18</v>
      </c>
      <c r="G36" s="64">
        <v>13</v>
      </c>
      <c r="H36">
        <v>0.7</v>
      </c>
      <c r="I36">
        <v>0.7</v>
      </c>
      <c r="J36">
        <v>0.5</v>
      </c>
    </row>
    <row r="37" spans="1:10">
      <c r="A37" s="64">
        <v>120</v>
      </c>
      <c r="B37" s="64">
        <v>165</v>
      </c>
      <c r="C37">
        <v>4.7</v>
      </c>
      <c r="D37">
        <v>6.5</v>
      </c>
      <c r="E37">
        <v>38</v>
      </c>
      <c r="F37">
        <v>25</v>
      </c>
      <c r="G37" s="64">
        <v>18</v>
      </c>
      <c r="H37">
        <v>1.5</v>
      </c>
      <c r="I37">
        <v>0.9</v>
      </c>
      <c r="J37">
        <v>0.7</v>
      </c>
    </row>
    <row r="38" spans="1:10">
      <c r="A38" s="64">
        <v>165</v>
      </c>
      <c r="B38" s="64">
        <v>300</v>
      </c>
      <c r="C38">
        <v>6.5</v>
      </c>
      <c r="D38">
        <v>11.8</v>
      </c>
      <c r="E38">
        <v>50</v>
      </c>
      <c r="F38">
        <v>38</v>
      </c>
      <c r="G38" s="64">
        <v>25</v>
      </c>
      <c r="H38">
        <v>1.9</v>
      </c>
      <c r="I38">
        <v>1.5</v>
      </c>
      <c r="J38">
        <v>0.9</v>
      </c>
    </row>
    <row r="39" spans="1:10">
      <c r="A39" s="64">
        <v>300</v>
      </c>
      <c r="B39" s="64">
        <v>500</v>
      </c>
      <c r="C39">
        <v>11.8</v>
      </c>
      <c r="D39">
        <v>19.600000000000001</v>
      </c>
      <c r="E39">
        <v>64</v>
      </c>
      <c r="F39">
        <v>50</v>
      </c>
      <c r="G39" s="64">
        <v>38</v>
      </c>
      <c r="H39">
        <v>2.5</v>
      </c>
      <c r="I39">
        <v>1.9</v>
      </c>
      <c r="J39">
        <v>1.5</v>
      </c>
    </row>
    <row r="40" spans="1:10">
      <c r="A40" s="64">
        <v>500</v>
      </c>
      <c r="B40" s="64">
        <v>786</v>
      </c>
      <c r="C40">
        <v>19.7</v>
      </c>
      <c r="D40">
        <v>30.9</v>
      </c>
      <c r="E40">
        <v>75</v>
      </c>
      <c r="F40">
        <v>64</v>
      </c>
      <c r="G40" s="64">
        <v>50</v>
      </c>
      <c r="H40">
        <v>2.9</v>
      </c>
      <c r="I40">
        <v>2.5</v>
      </c>
      <c r="J40">
        <v>1.9</v>
      </c>
    </row>
    <row r="41" spans="1:10">
      <c r="A41" s="64">
        <v>786</v>
      </c>
      <c r="B41" s="64">
        <v>1040</v>
      </c>
      <c r="C41">
        <v>30.9</v>
      </c>
      <c r="D41">
        <v>40.9</v>
      </c>
      <c r="E41">
        <v>165</v>
      </c>
      <c r="F41">
        <v>100</v>
      </c>
      <c r="G41" s="64">
        <v>75</v>
      </c>
      <c r="H41">
        <v>6.5</v>
      </c>
      <c r="I41">
        <v>4</v>
      </c>
      <c r="J41">
        <v>2.9</v>
      </c>
    </row>
    <row r="42" spans="1:10">
      <c r="A42" s="64">
        <v>1040</v>
      </c>
      <c r="B42" s="64">
        <v>1675</v>
      </c>
      <c r="C42">
        <v>40.9</v>
      </c>
      <c r="D42">
        <v>659</v>
      </c>
      <c r="E42">
        <v>190</v>
      </c>
      <c r="F42">
        <v>130</v>
      </c>
      <c r="G42" s="64">
        <v>75</v>
      </c>
      <c r="H42">
        <v>7.5</v>
      </c>
      <c r="I42">
        <v>5</v>
      </c>
      <c r="J42">
        <v>2.9</v>
      </c>
    </row>
    <row r="43" spans="1:10">
      <c r="A43" s="64">
        <v>1675</v>
      </c>
      <c r="B43" s="64">
        <v>2565</v>
      </c>
      <c r="C43">
        <v>65.900000000000006</v>
      </c>
      <c r="D43">
        <v>100.9</v>
      </c>
      <c r="E43">
        <v>230</v>
      </c>
      <c r="F43">
        <v>180</v>
      </c>
      <c r="G43" s="64">
        <v>100</v>
      </c>
      <c r="H43">
        <v>9</v>
      </c>
      <c r="I43">
        <v>7</v>
      </c>
      <c r="J43">
        <v>4</v>
      </c>
    </row>
    <row r="44" spans="1:10">
      <c r="A44" s="64">
        <v>2565</v>
      </c>
      <c r="B44" s="64">
        <v>3580</v>
      </c>
      <c r="C44">
        <v>100.9</v>
      </c>
      <c r="D44">
        <v>140.9</v>
      </c>
      <c r="E44">
        <v>300</v>
      </c>
      <c r="F44">
        <v>230</v>
      </c>
      <c r="G44" s="64">
        <v>130</v>
      </c>
      <c r="H44">
        <v>12</v>
      </c>
      <c r="I44">
        <v>9</v>
      </c>
      <c r="J44">
        <v>5.12</v>
      </c>
    </row>
    <row r="45" spans="1:10">
      <c r="A45" s="64">
        <v>3580</v>
      </c>
      <c r="B45" s="64">
        <v>6350</v>
      </c>
      <c r="C45">
        <v>140.9</v>
      </c>
      <c r="D45">
        <v>250</v>
      </c>
      <c r="E45">
        <v>560</v>
      </c>
      <c r="F45">
        <v>300</v>
      </c>
      <c r="G45" s="64">
        <v>150</v>
      </c>
      <c r="H45">
        <v>22</v>
      </c>
      <c r="I45">
        <v>12</v>
      </c>
      <c r="J45">
        <v>6</v>
      </c>
    </row>
    <row r="57" spans="1:6" ht="18.75" customHeight="1">
      <c r="A57" s="401" t="s">
        <v>470</v>
      </c>
      <c r="B57" s="401"/>
      <c r="E57" s="401" t="s">
        <v>470</v>
      </c>
      <c r="F57" s="401"/>
    </row>
    <row r="58" spans="1:6">
      <c r="A58" s="401" t="s">
        <v>454</v>
      </c>
      <c r="B58" s="401"/>
      <c r="E58" s="401" t="s">
        <v>455</v>
      </c>
      <c r="F58" s="401"/>
    </row>
    <row r="59" spans="1:6">
      <c r="A59" s="175">
        <v>0.33300000000000002</v>
      </c>
      <c r="B59" s="175">
        <v>0.33300000000000002</v>
      </c>
      <c r="E59" s="175">
        <v>0.25</v>
      </c>
      <c r="F59" s="175">
        <v>0.25</v>
      </c>
    </row>
    <row r="60" spans="1:6">
      <c r="A60" s="175">
        <v>0.5</v>
      </c>
      <c r="B60" s="175">
        <v>0.5</v>
      </c>
      <c r="E60" s="175">
        <v>0.33300000000000002</v>
      </c>
      <c r="F60" s="175">
        <v>0.33300000000000002</v>
      </c>
    </row>
    <row r="61" spans="1:6">
      <c r="A61" s="175">
        <v>0.5</v>
      </c>
      <c r="B61" s="175">
        <v>1</v>
      </c>
      <c r="E61" s="175">
        <v>0.5</v>
      </c>
      <c r="F61" s="175">
        <v>0.5</v>
      </c>
    </row>
    <row r="62" spans="1:6">
      <c r="A62" s="175">
        <v>1</v>
      </c>
      <c r="B62" s="175">
        <v>1</v>
      </c>
      <c r="E62" s="175">
        <v>0.5</v>
      </c>
      <c r="F62" s="175">
        <v>1</v>
      </c>
    </row>
    <row r="63" spans="1:6">
      <c r="A63" s="175">
        <v>1</v>
      </c>
      <c r="B63" s="175">
        <v>2</v>
      </c>
      <c r="E63" s="175">
        <v>1</v>
      </c>
      <c r="F63" s="175">
        <v>1</v>
      </c>
    </row>
    <row r="64" spans="1:6">
      <c r="A64" s="175">
        <v>2</v>
      </c>
      <c r="B64" s="175">
        <v>2</v>
      </c>
      <c r="E64" s="175"/>
      <c r="F64" s="175"/>
    </row>
    <row r="65" spans="1:6">
      <c r="A65" s="175">
        <v>1</v>
      </c>
      <c r="B65" s="175">
        <v>3</v>
      </c>
      <c r="E65" s="175"/>
      <c r="F65" s="175"/>
    </row>
    <row r="66" spans="1:6">
      <c r="A66" s="175">
        <v>2</v>
      </c>
      <c r="B66" s="175">
        <v>3</v>
      </c>
      <c r="E66" s="175"/>
      <c r="F66" s="175"/>
    </row>
    <row r="67" spans="1:6">
      <c r="A67" s="175">
        <v>3</v>
      </c>
      <c r="B67" s="175">
        <v>3</v>
      </c>
      <c r="E67" s="175"/>
      <c r="F67" s="175"/>
    </row>
    <row r="68" spans="1:6">
      <c r="A68" s="175"/>
      <c r="B68" s="175"/>
      <c r="E68" s="175"/>
      <c r="F68" s="175"/>
    </row>
    <row r="69" spans="1:6">
      <c r="A69" s="175"/>
      <c r="B69" s="175"/>
      <c r="E69" s="175"/>
      <c r="F69" s="175"/>
    </row>
    <row r="70" spans="1:6">
      <c r="A70" s="175"/>
      <c r="B70" s="175"/>
      <c r="E70" s="175"/>
      <c r="F70" s="175"/>
    </row>
    <row r="71" spans="1:6">
      <c r="A71" s="175"/>
      <c r="B71" s="175"/>
      <c r="E71" s="175"/>
      <c r="F71" s="175"/>
    </row>
    <row r="72" spans="1:6">
      <c r="A72" s="175"/>
      <c r="B72" s="175"/>
      <c r="E72" s="175"/>
      <c r="F72" s="175"/>
    </row>
    <row r="73" spans="1:6">
      <c r="A73" s="175"/>
      <c r="B73" s="175"/>
      <c r="E73" s="175"/>
      <c r="F73" s="175"/>
    </row>
    <row r="74" spans="1:6">
      <c r="A74" s="175"/>
      <c r="B74" s="175"/>
      <c r="E74" s="175"/>
      <c r="F74" s="175"/>
    </row>
    <row r="75" spans="1:6">
      <c r="A75" s="175"/>
      <c r="B75" s="175"/>
      <c r="E75" s="175"/>
      <c r="F75" s="175"/>
    </row>
    <row r="76" spans="1:6">
      <c r="A76" s="175"/>
      <c r="B76" s="175"/>
      <c r="E76" s="175"/>
      <c r="F76" s="175"/>
    </row>
    <row r="77" spans="1:6">
      <c r="A77" s="175"/>
      <c r="B77" s="175"/>
      <c r="E77" s="175"/>
      <c r="F77" s="175"/>
    </row>
    <row r="78" spans="1:6">
      <c r="A78" s="175"/>
      <c r="B78" s="175"/>
      <c r="E78" s="175"/>
      <c r="F78" s="175"/>
    </row>
    <row r="79" spans="1:6">
      <c r="A79" s="175"/>
      <c r="B79" s="175"/>
      <c r="E79" s="175"/>
      <c r="F79" s="175"/>
    </row>
    <row r="80" spans="1:6">
      <c r="A80" s="175"/>
      <c r="B80" s="175"/>
      <c r="E80" s="175"/>
      <c r="F80" s="175"/>
    </row>
    <row r="81" spans="1:6">
      <c r="A81" s="175"/>
      <c r="B81" s="175"/>
      <c r="E81" s="175"/>
      <c r="F81" s="175"/>
    </row>
    <row r="82" spans="1:6">
      <c r="A82" s="175"/>
      <c r="B82" s="175"/>
      <c r="E82" s="175"/>
      <c r="F82" s="175"/>
    </row>
    <row r="83" spans="1:6">
      <c r="A83" s="175"/>
      <c r="B83" s="175"/>
      <c r="E83" s="175"/>
      <c r="F83" s="175"/>
    </row>
    <row r="84" spans="1:6">
      <c r="A84" s="175"/>
      <c r="B84" s="175"/>
      <c r="E84" s="175"/>
      <c r="F84" s="175"/>
    </row>
    <row r="85" spans="1:6">
      <c r="A85" s="175"/>
      <c r="B85" s="175"/>
      <c r="E85" s="175"/>
      <c r="F85" s="175"/>
    </row>
  </sheetData>
  <dataConsolidate/>
  <mergeCells count="10">
    <mergeCell ref="H34:J34"/>
    <mergeCell ref="E58:F58"/>
    <mergeCell ref="A57:B57"/>
    <mergeCell ref="E57:F57"/>
    <mergeCell ref="A20:B20"/>
    <mergeCell ref="A33:B33"/>
    <mergeCell ref="A34:B34"/>
    <mergeCell ref="C34:D34"/>
    <mergeCell ref="A58:B58"/>
    <mergeCell ref="E34:G34"/>
  </mergeCell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6"/>
  <sheetViews>
    <sheetView zoomScaleNormal="100" workbookViewId="0">
      <selection activeCell="H35" sqref="H35"/>
    </sheetView>
  </sheetViews>
  <sheetFormatPr defaultRowHeight="12.75"/>
  <cols>
    <col min="1" max="1" width="12.42578125" bestFit="1" customWidth="1"/>
  </cols>
  <sheetData>
    <row r="1" spans="1:1">
      <c r="A1" t="s">
        <v>79</v>
      </c>
    </row>
    <row r="2" spans="1:1">
      <c r="A2" s="176" t="s">
        <v>537</v>
      </c>
    </row>
    <row r="3" spans="1:1">
      <c r="A3" s="176"/>
    </row>
    <row r="4" spans="1:1">
      <c r="A4" s="176"/>
    </row>
    <row r="5" spans="1:1">
      <c r="A5" s="176"/>
    </row>
    <row r="6" spans="1:1">
      <c r="A6" s="17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outlinePr summaryRight="0"/>
    <pageSetUpPr fitToPage="1"/>
  </sheetPr>
  <dimension ref="A1:DQ1620"/>
  <sheetViews>
    <sheetView tabSelected="1" zoomScale="85" zoomScaleNormal="85" workbookViewId="0">
      <pane xSplit="1" ySplit="1" topLeftCell="B2" activePane="bottomRight" state="frozen"/>
      <selection pane="topRight"/>
      <selection pane="bottomLeft"/>
      <selection pane="bottomRight" activeCell="BR1" sqref="BR1:BR1048576"/>
    </sheetView>
  </sheetViews>
  <sheetFormatPr defaultColWidth="43.7109375" defaultRowHeight="11.25" outlineLevelCol="1"/>
  <cols>
    <col min="1" max="1" width="44.42578125" style="248" bestFit="1" customWidth="1"/>
    <col min="2" max="2" width="14.85546875" style="248" bestFit="1" customWidth="1"/>
    <col min="3" max="4" width="7.85546875" style="248" bestFit="1" customWidth="1"/>
    <col min="5" max="5" width="10.85546875" style="248" customWidth="1"/>
    <col min="6" max="6" width="9.42578125" style="246" customWidth="1"/>
    <col min="7" max="7" width="15.7109375" style="246" customWidth="1"/>
    <col min="8" max="8" width="7.42578125" style="246" customWidth="1"/>
    <col min="9" max="12" width="11.28515625" style="246" customWidth="1"/>
    <col min="13" max="13" width="8.7109375" style="246" hidden="1" customWidth="1"/>
    <col min="14" max="14" width="7.85546875" style="246" customWidth="1"/>
    <col min="15" max="16" width="11.28515625" style="246" customWidth="1"/>
    <col min="17" max="18" width="7.85546875" style="246" customWidth="1"/>
    <col min="19" max="19" width="14.140625" style="266" customWidth="1"/>
    <col min="20" max="20" width="11.28515625" style="267" customWidth="1"/>
    <col min="21" max="22" width="9" style="267" hidden="1" customWidth="1"/>
    <col min="23" max="23" width="7.85546875" style="246" hidden="1" customWidth="1"/>
    <col min="24" max="24" width="12.85546875" style="246" hidden="1" customWidth="1"/>
    <col min="25" max="26" width="8.28515625" style="246" customWidth="1"/>
    <col min="27" max="32" width="8.28515625" style="246" customWidth="1" outlineLevel="1"/>
    <col min="33" max="38" width="7.7109375" style="246" customWidth="1" outlineLevel="1"/>
    <col min="39" max="39" width="8.7109375" style="246" customWidth="1" outlineLevel="1"/>
    <col min="40" max="40" width="8.7109375" style="248" customWidth="1" outlineLevel="1"/>
    <col min="41" max="44" width="7.7109375" style="246" customWidth="1" outlineLevel="1"/>
    <col min="45" max="45" width="7.7109375" style="268" customWidth="1" outlineLevel="1"/>
    <col min="46" max="46" width="7.7109375" style="266" customWidth="1" outlineLevel="1"/>
    <col min="47" max="47" width="7.7109375" style="246" customWidth="1" outlineLevel="1"/>
    <col min="48" max="48" width="7.7109375" style="269" customWidth="1" outlineLevel="1"/>
    <col min="49" max="50" width="8.7109375" style="248" customWidth="1" outlineLevel="1"/>
    <col min="51" max="56" width="8.7109375" style="246" customWidth="1" outlineLevel="1"/>
    <col min="57" max="60" width="8.7109375" style="269" customWidth="1" outlineLevel="1"/>
    <col min="61" max="70" width="8.7109375" style="246" customWidth="1" outlineLevel="1"/>
    <col min="71" max="71" width="7.7109375" style="266" customWidth="1"/>
    <col min="72" max="72" width="9" style="246" hidden="1" customWidth="1"/>
    <col min="73" max="73" width="7.7109375" style="281" hidden="1" customWidth="1"/>
    <col min="74" max="83" width="7.7109375" style="246" hidden="1" customWidth="1"/>
    <col min="84" max="85" width="16" style="248" hidden="1" customWidth="1"/>
    <col min="86" max="86" width="22.140625" style="248" customWidth="1"/>
    <col min="87" max="88" width="12" style="267" customWidth="1"/>
    <col min="89" max="89" width="8.7109375" style="246" hidden="1" customWidth="1"/>
    <col min="90" max="90" width="11.7109375" style="270" hidden="1" customWidth="1"/>
    <col min="91" max="91" width="17.28515625" style="271" hidden="1" customWidth="1"/>
    <col min="92" max="92" width="17.28515625" style="272" hidden="1" customWidth="1"/>
    <col min="93" max="94" width="17.28515625" style="246" hidden="1" customWidth="1"/>
    <col min="95" max="95" width="10.140625" style="267" customWidth="1"/>
    <col min="96" max="96" width="11.28515625" style="266" hidden="1" customWidth="1"/>
    <col min="97" max="97" width="17.28515625" style="246" hidden="1" customWidth="1"/>
    <col min="98" max="98" width="17.28515625" style="267" hidden="1" customWidth="1"/>
    <col min="99" max="99" width="13.28515625" style="266" hidden="1" customWidth="1"/>
    <col min="100" max="100" width="12.42578125" style="273" bestFit="1" customWidth="1"/>
    <col min="101" max="102" width="14.85546875" style="246" customWidth="1"/>
    <col min="103" max="105" width="11.28515625" style="273" customWidth="1"/>
    <col min="106" max="106" width="17.28515625" style="273" bestFit="1" customWidth="1"/>
    <col min="107" max="107" width="17.28515625" style="272" bestFit="1" customWidth="1"/>
    <col min="108" max="109" width="17.28515625" style="274" bestFit="1" customWidth="1"/>
    <col min="110" max="111" width="14.85546875" style="270" bestFit="1" customWidth="1"/>
    <col min="112" max="112" width="12.42578125" style="270" customWidth="1"/>
    <col min="113" max="113" width="11.28515625" style="270" bestFit="1" customWidth="1"/>
    <col min="114" max="114" width="17.28515625" style="270" bestFit="1" customWidth="1"/>
    <col min="115" max="115" width="17.28515625" style="267" bestFit="1" customWidth="1"/>
    <col min="116" max="116" width="11.28515625" style="267" bestFit="1" customWidth="1"/>
    <col min="117" max="118" width="17.28515625" style="267" bestFit="1" customWidth="1"/>
    <col min="119" max="119" width="10.140625" style="267" hidden="1" customWidth="1"/>
    <col min="120" max="120" width="14.85546875" style="267" hidden="1" customWidth="1"/>
    <col min="121" max="121" width="23.140625" style="267" hidden="1" customWidth="1"/>
    <col min="122" max="144" width="11.5703125" style="267" customWidth="1"/>
    <col min="145" max="16384" width="43.7109375" style="267"/>
  </cols>
  <sheetData>
    <row r="1" spans="1:121" s="250" customFormat="1" ht="99" customHeight="1">
      <c r="A1" s="251" t="s">
        <v>50</v>
      </c>
      <c r="B1" s="251" t="s">
        <v>21</v>
      </c>
      <c r="C1" s="223" t="s">
        <v>278</v>
      </c>
      <c r="D1" s="223" t="s">
        <v>412</v>
      </c>
      <c r="E1" s="223" t="s">
        <v>409</v>
      </c>
      <c r="F1" s="220" t="s">
        <v>30</v>
      </c>
      <c r="G1" s="220" t="s">
        <v>20</v>
      </c>
      <c r="H1" s="221" t="s">
        <v>10</v>
      </c>
      <c r="I1" s="221" t="s">
        <v>279</v>
      </c>
      <c r="J1" s="282" t="s">
        <v>1481</v>
      </c>
      <c r="K1" s="282" t="s">
        <v>1482</v>
      </c>
      <c r="L1" s="282" t="s">
        <v>1483</v>
      </c>
      <c r="M1" s="379" t="s">
        <v>1484</v>
      </c>
      <c r="N1" s="221" t="s">
        <v>421</v>
      </c>
      <c r="O1" s="221" t="s">
        <v>31</v>
      </c>
      <c r="P1" s="221" t="s">
        <v>35</v>
      </c>
      <c r="Q1" s="221" t="s">
        <v>15</v>
      </c>
      <c r="R1" s="221" t="s">
        <v>14</v>
      </c>
      <c r="S1" s="282" t="s">
        <v>1485</v>
      </c>
      <c r="T1" s="256" t="s">
        <v>287</v>
      </c>
      <c r="U1" s="379" t="s">
        <v>445</v>
      </c>
      <c r="V1" s="379" t="s">
        <v>446</v>
      </c>
      <c r="W1" s="380" t="s">
        <v>448</v>
      </c>
      <c r="X1" s="380" t="s">
        <v>447</v>
      </c>
      <c r="Y1" s="250" t="s">
        <v>375</v>
      </c>
      <c r="Z1" s="250" t="s">
        <v>381</v>
      </c>
      <c r="AA1" s="219" t="s">
        <v>2239</v>
      </c>
      <c r="AB1" s="219" t="s">
        <v>2240</v>
      </c>
      <c r="AC1" s="219" t="s">
        <v>2233</v>
      </c>
      <c r="AD1" s="219" t="s">
        <v>2234</v>
      </c>
      <c r="AE1" s="219" t="s">
        <v>2235</v>
      </c>
      <c r="AF1" s="219" t="s">
        <v>2236</v>
      </c>
      <c r="AG1" s="219" t="s">
        <v>2201</v>
      </c>
      <c r="AH1" s="219" t="s">
        <v>2202</v>
      </c>
      <c r="AI1" s="219" t="s">
        <v>2203</v>
      </c>
      <c r="AJ1" s="219" t="s">
        <v>2204</v>
      </c>
      <c r="AK1" s="219" t="s">
        <v>2205</v>
      </c>
      <c r="AL1" s="219" t="s">
        <v>2206</v>
      </c>
      <c r="AM1" s="219" t="s">
        <v>2191</v>
      </c>
      <c r="AN1" s="219" t="s">
        <v>2192</v>
      </c>
      <c r="AO1" s="219" t="s">
        <v>2207</v>
      </c>
      <c r="AP1" s="219" t="s">
        <v>2208</v>
      </c>
      <c r="AQ1" s="219" t="s">
        <v>2209</v>
      </c>
      <c r="AR1" s="219" t="s">
        <v>2210</v>
      </c>
      <c r="AS1" s="219" t="s">
        <v>2211</v>
      </c>
      <c r="AT1" s="219" t="s">
        <v>2212</v>
      </c>
      <c r="AU1" s="219" t="s">
        <v>2213</v>
      </c>
      <c r="AV1" s="219" t="s">
        <v>2214</v>
      </c>
      <c r="AW1" s="219" t="s">
        <v>2193</v>
      </c>
      <c r="AX1" s="219" t="s">
        <v>2194</v>
      </c>
      <c r="AY1" s="219" t="s">
        <v>2195</v>
      </c>
      <c r="AZ1" s="219" t="s">
        <v>2196</v>
      </c>
      <c r="BA1" s="219" t="s">
        <v>2197</v>
      </c>
      <c r="BB1" s="219" t="s">
        <v>2198</v>
      </c>
      <c r="BC1" s="219" t="s">
        <v>2199</v>
      </c>
      <c r="BD1" s="219" t="s">
        <v>2200</v>
      </c>
      <c r="BE1" s="219" t="s">
        <v>2215</v>
      </c>
      <c r="BF1" s="219" t="s">
        <v>2216</v>
      </c>
      <c r="BG1" s="219" t="s">
        <v>2217</v>
      </c>
      <c r="BH1" s="219" t="s">
        <v>2218</v>
      </c>
      <c r="BI1" s="219" t="s">
        <v>2219</v>
      </c>
      <c r="BJ1" s="219" t="s">
        <v>2220</v>
      </c>
      <c r="BK1" s="219" t="s">
        <v>2221</v>
      </c>
      <c r="BL1" s="219" t="s">
        <v>2222</v>
      </c>
      <c r="BM1" s="219" t="s">
        <v>2223</v>
      </c>
      <c r="BN1" s="219" t="s">
        <v>2224</v>
      </c>
      <c r="BO1" s="219" t="s">
        <v>2225</v>
      </c>
      <c r="BP1" s="219" t="s">
        <v>2226</v>
      </c>
      <c r="BQ1" s="219" t="s">
        <v>2227</v>
      </c>
      <c r="BR1" s="219" t="s">
        <v>2228</v>
      </c>
      <c r="BS1" s="219" t="s">
        <v>267</v>
      </c>
      <c r="BT1" s="219" t="s">
        <v>268</v>
      </c>
      <c r="BU1" s="219" t="s">
        <v>269</v>
      </c>
      <c r="BV1" s="219" t="s">
        <v>270</v>
      </c>
      <c r="BW1" s="219" t="s">
        <v>426</v>
      </c>
      <c r="BX1" s="219" t="s">
        <v>427</v>
      </c>
      <c r="BY1" s="219" t="s">
        <v>428</v>
      </c>
      <c r="BZ1" s="219" t="s">
        <v>429</v>
      </c>
      <c r="CA1" s="219" t="s">
        <v>430</v>
      </c>
      <c r="CB1" s="219" t="s">
        <v>431</v>
      </c>
      <c r="CC1" s="219" t="s">
        <v>432</v>
      </c>
      <c r="CD1" s="219" t="s">
        <v>433</v>
      </c>
      <c r="CE1" s="219" t="s">
        <v>434</v>
      </c>
      <c r="CF1" s="219" t="s">
        <v>419</v>
      </c>
      <c r="CG1" s="219" t="s">
        <v>420</v>
      </c>
      <c r="CH1" s="219" t="s">
        <v>471</v>
      </c>
      <c r="CI1" s="223" t="s">
        <v>44</v>
      </c>
      <c r="CJ1" s="219" t="s">
        <v>45</v>
      </c>
      <c r="CK1" s="381" t="s">
        <v>456</v>
      </c>
      <c r="CL1" s="381" t="s">
        <v>457</v>
      </c>
      <c r="CM1" s="381" t="s">
        <v>283</v>
      </c>
      <c r="CN1" s="381" t="s">
        <v>284</v>
      </c>
      <c r="CO1" s="381" t="s">
        <v>285</v>
      </c>
      <c r="CP1" s="381" t="s">
        <v>286</v>
      </c>
      <c r="CQ1" s="251" t="s">
        <v>25</v>
      </c>
      <c r="CR1" s="382" t="s">
        <v>372</v>
      </c>
      <c r="CS1" s="383" t="s">
        <v>458</v>
      </c>
      <c r="CT1" s="383" t="s">
        <v>413</v>
      </c>
      <c r="CU1" s="382" t="s">
        <v>373</v>
      </c>
      <c r="CV1" s="222" t="s">
        <v>9</v>
      </c>
      <c r="CW1" s="222" t="s">
        <v>355</v>
      </c>
      <c r="CX1" s="222" t="s">
        <v>442</v>
      </c>
      <c r="CY1" s="222" t="s">
        <v>441</v>
      </c>
      <c r="CZ1" s="222" t="s">
        <v>468</v>
      </c>
      <c r="DA1" s="222" t="s">
        <v>469</v>
      </c>
      <c r="DB1" s="252" t="s">
        <v>40</v>
      </c>
      <c r="DC1" s="253" t="s">
        <v>39</v>
      </c>
      <c r="DD1" s="223" t="s">
        <v>281</v>
      </c>
      <c r="DE1" s="223" t="s">
        <v>282</v>
      </c>
      <c r="DF1" s="254" t="s">
        <v>26</v>
      </c>
      <c r="DG1" s="254" t="s">
        <v>27</v>
      </c>
      <c r="DH1" s="254" t="s">
        <v>276</v>
      </c>
      <c r="DI1" s="255" t="s">
        <v>32</v>
      </c>
      <c r="DJ1" s="223" t="s">
        <v>33</v>
      </c>
      <c r="DK1" s="223" t="s">
        <v>34</v>
      </c>
      <c r="DL1" s="256" t="s">
        <v>36</v>
      </c>
      <c r="DM1" s="223" t="s">
        <v>37</v>
      </c>
      <c r="DN1" s="223" t="s">
        <v>38</v>
      </c>
      <c r="DO1" s="382" t="s">
        <v>22</v>
      </c>
      <c r="DP1" s="382" t="s">
        <v>23</v>
      </c>
      <c r="DQ1" s="382" t="s">
        <v>24</v>
      </c>
    </row>
    <row r="2" spans="1:121" s="265" customFormat="1" ht="11.25" customHeight="1">
      <c r="A2" s="224" t="str">
        <f>"Core "&amp;F2&amp;" "&amp;G2&amp;" "&amp;FIXED(J2,3)&amp;"mm "&amp;IF(O2=0.33,"L",IF(O2=0.5,"H",IF(O2=0.6,"Z",O2)))&amp;"/"&amp;IF(P2=0.33,"L",IF(P2=0.5,"H",IF(P2=0.6,"Z",P2)))&amp;IF(J2&lt;=0.1," #"&amp;S2,"")</f>
        <v>Core EMC EM-370(Z) 0.200mm L/L</v>
      </c>
      <c r="B2" s="226" t="str">
        <f>FIXED(J2,3)&amp;"mm "&amp;IF(O2=0.33,"L",IF(O2=0.5,"H",IF(O2=0.6,"Z",O2)))&amp;"/"&amp;IF(P2=0.33,"L",IF(P2=0.5,"H",IF(P2=0.6,"Z",P2)))</f>
        <v>0.200mm L/L</v>
      </c>
      <c r="C2" s="226" t="e">
        <f>IF(OR(A2=A1,A2=#REF!),"DUPE","--")</f>
        <v>#REF!</v>
      </c>
      <c r="D2" s="226">
        <v>0</v>
      </c>
      <c r="E2" s="226" t="s">
        <v>449</v>
      </c>
      <c r="F2" s="228" t="s">
        <v>1454</v>
      </c>
      <c r="G2" s="228" t="s">
        <v>1762</v>
      </c>
      <c r="H2" s="228" t="str">
        <f t="shared" ref="H2" si="0">IF(ISERROR(RIGHT(S2,LEN(S2)-FIND("*",S2))),"1",RIGHT(S2,LEN(S2)-FIND("*",S2)))</f>
        <v>1</v>
      </c>
      <c r="I2" s="275">
        <v>0.20300000000000001</v>
      </c>
      <c r="J2" s="275">
        <v>0.2</v>
      </c>
      <c r="K2" s="240">
        <v>3</v>
      </c>
      <c r="L2" s="275" t="s">
        <v>1761</v>
      </c>
      <c r="M2" s="275"/>
      <c r="N2" s="228" t="b">
        <v>0</v>
      </c>
      <c r="O2" s="235">
        <v>0.33</v>
      </c>
      <c r="P2" s="235">
        <v>0.33</v>
      </c>
      <c r="Q2" s="226">
        <v>190</v>
      </c>
      <c r="R2" s="226">
        <v>190</v>
      </c>
      <c r="S2" s="240">
        <v>7629</v>
      </c>
      <c r="T2" s="226" t="s">
        <v>85</v>
      </c>
      <c r="U2" s="226"/>
      <c r="V2" s="226"/>
      <c r="W2" s="258"/>
      <c r="X2" s="258">
        <v>46</v>
      </c>
      <c r="Y2" s="259">
        <v>4.41</v>
      </c>
      <c r="Z2" s="230">
        <v>1.2E-2</v>
      </c>
      <c r="AA2" s="230"/>
      <c r="AB2" s="230"/>
      <c r="AC2" s="230"/>
      <c r="AD2" s="230"/>
      <c r="AE2" s="230"/>
      <c r="AF2" s="230"/>
      <c r="AG2" s="259">
        <v>0</v>
      </c>
      <c r="AH2" s="259">
        <v>0</v>
      </c>
      <c r="AI2" s="259">
        <v>0</v>
      </c>
      <c r="AJ2" s="259">
        <v>0</v>
      </c>
      <c r="AK2" s="259">
        <v>0</v>
      </c>
      <c r="AL2" s="259">
        <v>0</v>
      </c>
      <c r="AM2" s="259">
        <v>0</v>
      </c>
      <c r="AN2" s="259">
        <v>0</v>
      </c>
      <c r="AO2" s="259">
        <v>0</v>
      </c>
      <c r="AP2" s="259">
        <v>0</v>
      </c>
      <c r="AQ2" s="259">
        <v>0</v>
      </c>
      <c r="AR2" s="230">
        <v>0</v>
      </c>
      <c r="AS2" s="230">
        <v>0</v>
      </c>
      <c r="AT2" s="230">
        <v>0</v>
      </c>
      <c r="AU2" s="230">
        <v>0</v>
      </c>
      <c r="AV2" s="230">
        <v>0</v>
      </c>
      <c r="AW2" s="259">
        <v>0</v>
      </c>
      <c r="AX2" s="259">
        <v>0</v>
      </c>
      <c r="AY2" s="259">
        <v>0</v>
      </c>
      <c r="AZ2" s="259">
        <v>0</v>
      </c>
      <c r="BA2" s="259">
        <v>0</v>
      </c>
      <c r="BB2" s="259">
        <v>0</v>
      </c>
      <c r="BC2" s="259">
        <v>0</v>
      </c>
      <c r="BD2" s="259">
        <v>0</v>
      </c>
      <c r="BE2" s="230">
        <v>0</v>
      </c>
      <c r="BF2" s="230">
        <v>0</v>
      </c>
      <c r="BG2" s="230">
        <v>0</v>
      </c>
      <c r="BH2" s="230">
        <v>0</v>
      </c>
      <c r="BI2" s="259">
        <v>0</v>
      </c>
      <c r="BJ2" s="259">
        <v>0</v>
      </c>
      <c r="BK2" s="259">
        <v>0</v>
      </c>
      <c r="BL2" s="259">
        <v>0</v>
      </c>
      <c r="BM2" s="259">
        <v>0</v>
      </c>
      <c r="BN2" s="259">
        <v>0</v>
      </c>
      <c r="BO2" s="259">
        <v>0</v>
      </c>
      <c r="BP2" s="259">
        <v>0</v>
      </c>
      <c r="BQ2" s="259">
        <v>0</v>
      </c>
      <c r="BR2" s="259">
        <v>0</v>
      </c>
      <c r="BS2" s="280" t="b">
        <v>1</v>
      </c>
      <c r="BT2" s="280" t="b">
        <v>1</v>
      </c>
      <c r="BU2" s="280" t="str">
        <f>IF(Y2&lt;3.67,"TRUE","FALSE")</f>
        <v>FALSE</v>
      </c>
      <c r="BV2" s="280" t="str">
        <f>IF(Z2&lt;0.0125,"TRUE","FALSE")</f>
        <v>TRUE</v>
      </c>
      <c r="BW2" s="260" t="b">
        <v>0</v>
      </c>
      <c r="BX2" s="260" t="b">
        <v>0</v>
      </c>
      <c r="BY2" s="260" t="b">
        <v>0</v>
      </c>
      <c r="BZ2" s="260" t="b">
        <v>0</v>
      </c>
      <c r="CA2" s="260" t="b">
        <v>0</v>
      </c>
      <c r="CB2" s="260" t="b">
        <v>0</v>
      </c>
      <c r="CC2" s="260" t="b">
        <v>0</v>
      </c>
      <c r="CD2" s="260" t="b">
        <v>0</v>
      </c>
      <c r="CE2" s="260" t="b">
        <v>0</v>
      </c>
      <c r="CF2" s="227" t="s">
        <v>208</v>
      </c>
      <c r="CG2" s="227" t="s">
        <v>208</v>
      </c>
      <c r="CH2" s="227" t="s">
        <v>2176</v>
      </c>
      <c r="CI2" s="261">
        <v>0</v>
      </c>
      <c r="CJ2" s="247">
        <v>90</v>
      </c>
      <c r="CK2" s="226" t="s">
        <v>208</v>
      </c>
      <c r="CL2" s="226" t="s">
        <v>208</v>
      </c>
      <c r="CM2" s="262">
        <v>0</v>
      </c>
      <c r="CN2" s="262">
        <v>0</v>
      </c>
      <c r="CO2" s="262">
        <v>0</v>
      </c>
      <c r="CP2" s="262">
        <v>0</v>
      </c>
      <c r="CQ2" s="226" t="b">
        <v>0</v>
      </c>
      <c r="CR2" s="234" t="str">
        <f>G2</f>
        <v>EM-370(Z)</v>
      </c>
      <c r="CS2" s="226" t="str">
        <f>IF(CK2="ED-HTE","H",IF(CK2="ED-RTF","R",IF(CK2="ED-DST","P",IF(CK2="RD","B",IF(CK2="ED","C","&lt;Not Definded&gt;")))))</f>
        <v>&lt;Not Definded&gt;</v>
      </c>
      <c r="CT2" s="226" t="str">
        <f>IFERROR(IF(SEARCH("762",S2),"TRUE","FALSE"),"FALSE")</f>
        <v>TRUE</v>
      </c>
      <c r="CU2" s="227" t="str">
        <f>IF(Q2&lt;150,"Normal TG (&lt;150)",IF(Q2&lt;170,"Middle TG (150-170)",IF(Q2&gt;=170,"High TG (&gt;=170)","&lt;Not Defined&gt;")))</f>
        <v>High TG (&gt;=170)</v>
      </c>
      <c r="CV2" s="257">
        <f t="shared" ref="CV2" si="1">IFERROR(IF(F2="Panasonic",J2,IF(AND(J2&gt;=0.8,N2=TRUE,OR(F2="EMC",F2="Shengyi",F2="Isola",F2="Doosan",F2="Hitachi")),J2-(DI2/1000+DL2/1000),IF(AND(J2=0.8,F2="Nanya"),J2,IF(AND(J2=0.77,F2="Nanya"),J2-(DI2/1000+DL2/1000),IF(AND(J2&lt;0.8),J2,IF(AND(J2&gt;0.8),J2-(DI2/1000+DL2/1000))))))),"Xác nhận lại")</f>
        <v>0.2</v>
      </c>
      <c r="CW2" s="236">
        <f t="shared" ref="CW2" si="2">CV2</f>
        <v>0.2</v>
      </c>
      <c r="CX2" s="236">
        <f t="shared" ref="CX2" si="3">IF(E2="Metric",IF(CV2&lt;7,CV2*1000,CV2),IF(CV2&lt;1,CV2*25.4*1000,CV2*25.4))</f>
        <v>200</v>
      </c>
      <c r="CY2" s="237">
        <f t="shared" ref="CY2" si="4">IF(CX2&lt;25,0,IF(CX2&lt;120,25,IF(CX2&lt;165,120,IF(CX2&lt;300,165,IF(CX2&lt;500,300,IF(CX2&lt;786,500,IF(CX2&lt;1040,786,IF(CX2&lt;1675,1040,IF(CX2&lt;2565,1675,0)))))))))</f>
        <v>165</v>
      </c>
      <c r="CZ2" s="238">
        <f>IF(T2="C",VLOOKUP(CY2,CuWtTrans!$A$36:$J$46,7,TRUE),IF(T2="B",VLOOKUP(CY2,CuWtTrans!$A$36:$J$46,6,TRUE),IF(T2="A",VLOOKUP(CY2,CuWtTrans!$A$36:$J$46,5,TRUE))))</f>
        <v>25</v>
      </c>
      <c r="DA2" s="238">
        <f>IF(T2="C",VLOOKUP(CY2,CuWtTrans!$A$36:$J$46,10,TRUE),IF(T2="B",VLOOKUP(CY2,CuWtTrans!$A$36:$J$46,9,TRUE),IF(T2="A",VLOOKUP(CY2,CuWtTrans!$A$36:$J$46,8,TRUE))))</f>
        <v>0.9</v>
      </c>
      <c r="DB2" s="263">
        <f t="shared" ref="DB2" si="5">IF(E2="Metric",CZ2,DA2)</f>
        <v>25</v>
      </c>
      <c r="DC2" s="263">
        <f>DB2</f>
        <v>25</v>
      </c>
      <c r="DD2" s="260">
        <f t="shared" ref="DD2" si="6">Y2</f>
        <v>4.41</v>
      </c>
      <c r="DE2" s="230">
        <f t="shared" ref="DE2" si="7">Z2</f>
        <v>1.2E-2</v>
      </c>
      <c r="DF2" s="228">
        <f t="shared" ref="DF2" si="8">IF(W2=0,U2,IF(W2=V2,V2,U2))</f>
        <v>0</v>
      </c>
      <c r="DG2" s="240">
        <f t="shared" ref="DG2" si="9">IF(W2=0,V2,IF(W2=V2,U2,V2))</f>
        <v>0</v>
      </c>
      <c r="DH2" s="258" t="str">
        <f t="shared" ref="DH2" si="10">IF(W2=DG2,"Vertical","Horizontal")</f>
        <v>Vertical</v>
      </c>
      <c r="DI2" s="264">
        <f>IF(E2="Imperial",IF(O2&gt;0,VLOOKUP(O2,CuWtTrans!$A$2:$G$19,6,TRUE)),IF(O2&gt;0,VLOOKUP(O2,CuWtTrans!$A$2:$G$19,5,TRUE)))</f>
        <v>12</v>
      </c>
      <c r="DJ2" s="264">
        <f>$DI2*0.05</f>
        <v>0.60000000000000009</v>
      </c>
      <c r="DK2" s="264">
        <f>$DI2*0.05</f>
        <v>0.60000000000000009</v>
      </c>
      <c r="DL2" s="264">
        <f>IF(E2="Imperial",IF(P2&gt;0,VLOOKUP(P2,CuWtTrans!$A$2:$G$19,6,TRUE)),IF(P2&gt;0,VLOOKUP(P2,CuWtTrans!$A$2:$G$19,5,TRUE)))</f>
        <v>12</v>
      </c>
      <c r="DM2" s="264">
        <f>$DL2*0.05</f>
        <v>0.60000000000000009</v>
      </c>
      <c r="DN2" s="264">
        <f>$DL2*0.05</f>
        <v>0.60000000000000009</v>
      </c>
      <c r="DO2" s="227"/>
      <c r="DP2" s="226"/>
      <c r="DQ2" s="227"/>
    </row>
    <row r="3" spans="1:121" ht="11.25" customHeight="1">
      <c r="A3" s="224" t="str">
        <f t="shared" ref="A3:A5" si="11">"Core "&amp;F3&amp;" "&amp;G3&amp;" "&amp;FIXED(J3,3)&amp;"mm "&amp;IF(O3=0.33,"L",IF(O3=0.5,"H",IF(O3=0.6,"Z",O3)))&amp;"/"&amp;IF(P3=0.33,"L",IF(P3=0.5,"H",IF(P3=0.6,"Z",P3)))&amp;IF(J3&lt;=0.1," #"&amp;S3,"")</f>
        <v>Core   0.000mm / #</v>
      </c>
      <c r="B3" s="226" t="str">
        <f t="shared" ref="B3:B5" si="12">FIXED(J3,3)&amp;"mm "&amp;IF(O3=0.33,"L",IF(O3=0.5,"H",IF(O3=0.6,"Z",O3)))&amp;"/"&amp;IF(P3=0.33,"L",IF(P3=0.5,"H",IF(P3=0.6,"Z",P3)))</f>
        <v>0.000mm /</v>
      </c>
      <c r="C3" s="226" t="e">
        <f>IF(OR(A3=#REF!,A3=A4),"DUPE","--")</f>
        <v>#REF!</v>
      </c>
      <c r="D3" s="226">
        <v>0</v>
      </c>
      <c r="E3" s="226" t="s">
        <v>449</v>
      </c>
      <c r="F3" s="387"/>
      <c r="G3" s="387"/>
      <c r="I3" s="269"/>
      <c r="J3" s="269"/>
      <c r="K3" s="388"/>
      <c r="L3" s="269"/>
      <c r="M3" s="269"/>
      <c r="O3" s="274"/>
      <c r="P3" s="274"/>
      <c r="S3" s="276"/>
      <c r="T3" s="267" t="s">
        <v>85</v>
      </c>
      <c r="Y3" s="269"/>
      <c r="Z3" s="269"/>
      <c r="AA3" s="269"/>
      <c r="AB3" s="269"/>
      <c r="AC3" s="269"/>
      <c r="AD3" s="269"/>
      <c r="AE3" s="269"/>
      <c r="AF3" s="269"/>
      <c r="AG3" s="269"/>
      <c r="AH3" s="281"/>
      <c r="AI3" s="269"/>
      <c r="AM3" s="269"/>
      <c r="BS3" s="387"/>
      <c r="BW3" s="389"/>
      <c r="BX3" s="389"/>
      <c r="BY3" s="389"/>
      <c r="BZ3" s="389"/>
      <c r="CA3" s="389"/>
      <c r="CB3" s="389"/>
      <c r="CC3" s="389"/>
      <c r="CD3" s="389"/>
      <c r="CE3" s="389"/>
      <c r="CF3" s="386"/>
      <c r="CG3" s="386"/>
      <c r="CI3" s="267">
        <v>0</v>
      </c>
      <c r="CQ3" s="226" t="b">
        <v>0</v>
      </c>
      <c r="CR3" s="234"/>
      <c r="CS3" s="226"/>
      <c r="CT3" s="226"/>
      <c r="CU3" s="386"/>
      <c r="CV3" s="257">
        <f t="shared" ref="CV3:CV5" si="13">IFERROR(IF(F3="Panasonic",J3,IF(AND(J3&gt;=0.8,N3=TRUE,OR(F3="EMC",F3="Shengyi",F3="Isola",F3="Doosan",F3="Hitachi")),J3-(DI3/1000+DL3/1000),IF(AND(J3=0.8,F3="Nanya"),J3,IF(AND(J3=0.77,F3="Nanya"),J3-(DI3/1000+DL3/1000),IF(AND(J3&lt;0.8),J3,IF(AND(J3&gt;0.8),J3-(DI3/1000+DL3/1000))))))),"Xác nhận lại")</f>
        <v>0</v>
      </c>
      <c r="CW3" s="236">
        <f t="shared" ref="CW3:CW5" si="14">CV3</f>
        <v>0</v>
      </c>
      <c r="CX3" s="236">
        <f t="shared" ref="CX3:CX5" si="15">IF(E3="Metric",IF(CV3&lt;7,CV3*1000,CV3),IF(CV3&lt;1,CV3*25.4*1000,CV3*25.4))</f>
        <v>0</v>
      </c>
      <c r="CY3" s="237">
        <f t="shared" ref="CY3:CY5" si="16">IF(CX3&lt;25,0,IF(CX3&lt;120,25,IF(CX3&lt;165,120,IF(CX3&lt;300,165,IF(CX3&lt;500,300,IF(CX3&lt;786,500,IF(CX3&lt;1040,786,IF(CX3&lt;1675,1040,0))))))))</f>
        <v>0</v>
      </c>
      <c r="CZ3" s="237" t="e">
        <f>IF(T3="C",VLOOKUP(CY3,CuWtTrans!$A$36:$G$46,7,TRUE),IF(T3="B",VLOOKUP(CY3,CuWtTrans!$A$36:$G$46,6,TRUE),IF(T3="A",VLOOKUP(CY3,CuWtTrans!$A$36:$G$46,5,TRUE))))</f>
        <v>#N/A</v>
      </c>
      <c r="DA3" s="238" t="e">
        <f>IF(T3="C",VLOOKUP(CY3,CuWtTrans!$A$36:$J$46,10,TRUE),IF(T3="B",VLOOKUP(CY3,CuWtTrans!$A$36:$J$46,9,TRUE),IF(T3="A",VLOOKUP(CY3,CuWtTrans!$A$36:$J$46,8,TRUE))))</f>
        <v>#N/A</v>
      </c>
      <c r="DB3" s="263" t="e">
        <f t="shared" ref="DB3:DB5" si="17">IF(E3="Metric",CZ3,DA3)</f>
        <v>#N/A</v>
      </c>
      <c r="DC3" s="263" t="e">
        <f t="shared" ref="DC3:DC5" si="18">DB3</f>
        <v>#N/A</v>
      </c>
      <c r="DD3" s="389">
        <f t="shared" ref="DD3:DD5" si="19">Y3</f>
        <v>0</v>
      </c>
      <c r="DE3" s="387">
        <f t="shared" ref="DE3:DE5" si="20">Z3</f>
        <v>0</v>
      </c>
      <c r="DF3" s="387">
        <f t="shared" ref="DF3:DF5" si="21">IF(W3=0,U3,IF(W3=V3,V3,U3))</f>
        <v>0</v>
      </c>
      <c r="DG3" s="388">
        <f t="shared" ref="DG3:DG5" si="22">IF(W3=0,V3,IF(W3=V3,U3,V3))</f>
        <v>0</v>
      </c>
      <c r="DH3" s="258" t="str">
        <f t="shared" ref="DH3:DH5" si="23">IF(W3=DG3,"Vertical","Horizontal")</f>
        <v>Vertical</v>
      </c>
      <c r="DI3" s="264" t="b">
        <f>IF(E3="Imperial",IF(O3&gt;0,VLOOKUP(O3,CuWtTrans!$A$2:$G$19,6,TRUE)),IF(O3&gt;0,VLOOKUP(O3,CuWtTrans!$A$2:$G$19,5,TRUE)))</f>
        <v>0</v>
      </c>
      <c r="DJ3" s="264">
        <f t="shared" ref="DJ3:DK11" si="24">$DI3*0.05</f>
        <v>0</v>
      </c>
      <c r="DK3" s="264">
        <f t="shared" si="24"/>
        <v>0</v>
      </c>
      <c r="DL3" s="264" t="b">
        <f>IF(E3="Imperial",IF(P3&gt;0,VLOOKUP(P3,CuWtTrans!$A$2:$G$19,6,TRUE)),IF(P3&gt;0,VLOOKUP(P3,CuWtTrans!$A$2:$G$19,5,TRUE)))</f>
        <v>0</v>
      </c>
      <c r="DM3" s="264">
        <f t="shared" ref="DM3:DN11" si="25">$DL3*0.05</f>
        <v>0</v>
      </c>
      <c r="DN3" s="264">
        <f t="shared" si="25"/>
        <v>0</v>
      </c>
    </row>
    <row r="4" spans="1:121" ht="11.25" customHeight="1">
      <c r="A4" s="224" t="str">
        <f t="shared" si="11"/>
        <v>Core   0.000mm / #</v>
      </c>
      <c r="B4" s="226" t="str">
        <f t="shared" si="12"/>
        <v>0.000mm /</v>
      </c>
      <c r="C4" s="226" t="str">
        <f t="shared" ref="C4:C5" si="26">IF(OR(A4=A3,A4=A5),"DUPE","--")</f>
        <v>DUPE</v>
      </c>
      <c r="D4" s="226">
        <v>0</v>
      </c>
      <c r="E4" s="226" t="s">
        <v>449</v>
      </c>
      <c r="F4" s="387"/>
      <c r="G4" s="387"/>
      <c r="I4" s="269"/>
      <c r="J4" s="269"/>
      <c r="K4" s="388"/>
      <c r="L4" s="269"/>
      <c r="M4" s="269"/>
      <c r="O4" s="274"/>
      <c r="P4" s="274"/>
      <c r="S4" s="276"/>
      <c r="T4" s="267" t="s">
        <v>85</v>
      </c>
      <c r="Y4" s="269"/>
      <c r="Z4" s="269"/>
      <c r="AA4" s="269"/>
      <c r="AB4" s="269"/>
      <c r="AC4" s="269"/>
      <c r="AD4" s="269"/>
      <c r="AE4" s="269"/>
      <c r="AF4" s="269"/>
      <c r="AG4" s="269"/>
      <c r="AH4" s="281"/>
      <c r="AI4" s="269"/>
      <c r="AM4" s="269"/>
      <c r="BS4" s="387"/>
      <c r="BW4" s="389"/>
      <c r="BX4" s="389"/>
      <c r="BY4" s="389"/>
      <c r="BZ4" s="389"/>
      <c r="CA4" s="389"/>
      <c r="CB4" s="389"/>
      <c r="CC4" s="389"/>
      <c r="CD4" s="389"/>
      <c r="CE4" s="389"/>
      <c r="CF4" s="386"/>
      <c r="CG4" s="386"/>
      <c r="CI4" s="267">
        <v>0</v>
      </c>
      <c r="CQ4" s="226" t="b">
        <v>0</v>
      </c>
      <c r="CR4" s="234"/>
      <c r="CS4" s="226"/>
      <c r="CT4" s="226"/>
      <c r="CU4" s="386"/>
      <c r="CV4" s="257">
        <f t="shared" si="13"/>
        <v>0</v>
      </c>
      <c r="CW4" s="236">
        <f t="shared" si="14"/>
        <v>0</v>
      </c>
      <c r="CX4" s="236">
        <f t="shared" si="15"/>
        <v>0</v>
      </c>
      <c r="CY4" s="237">
        <f t="shared" si="16"/>
        <v>0</v>
      </c>
      <c r="CZ4" s="237" t="e">
        <f>IF(T4="C",VLOOKUP(CY4,CuWtTrans!$A$36:$G$46,7,TRUE),IF(T4="B",VLOOKUP(CY4,CuWtTrans!$A$36:$G$46,6,TRUE),IF(T4="A",VLOOKUP(CY4,CuWtTrans!$A$36:$G$46,5,TRUE))))</f>
        <v>#N/A</v>
      </c>
      <c r="DA4" s="238" t="e">
        <f>IF(T4="C",VLOOKUP(CY4,CuWtTrans!$A$36:$J$46,10,TRUE),IF(T4="B",VLOOKUP(CY4,CuWtTrans!$A$36:$J$46,9,TRUE),IF(T4="A",VLOOKUP(CY4,CuWtTrans!$A$36:$J$46,8,TRUE))))</f>
        <v>#N/A</v>
      </c>
      <c r="DB4" s="263" t="e">
        <f t="shared" si="17"/>
        <v>#N/A</v>
      </c>
      <c r="DC4" s="263" t="e">
        <f t="shared" si="18"/>
        <v>#N/A</v>
      </c>
      <c r="DD4" s="389">
        <f t="shared" si="19"/>
        <v>0</v>
      </c>
      <c r="DE4" s="387">
        <f t="shared" si="20"/>
        <v>0</v>
      </c>
      <c r="DF4" s="387">
        <f t="shared" si="21"/>
        <v>0</v>
      </c>
      <c r="DG4" s="388">
        <f t="shared" si="22"/>
        <v>0</v>
      </c>
      <c r="DH4" s="258" t="str">
        <f t="shared" si="23"/>
        <v>Vertical</v>
      </c>
      <c r="DI4" s="264" t="b">
        <f>IF(E4="Imperial",IF(O4&gt;0,VLOOKUP(O4,CuWtTrans!$A$2:$G$19,6,TRUE)),IF(O4&gt;0,VLOOKUP(O4,CuWtTrans!$A$2:$G$19,5,TRUE)))</f>
        <v>0</v>
      </c>
      <c r="DJ4" s="264">
        <f t="shared" si="24"/>
        <v>0</v>
      </c>
      <c r="DK4" s="264">
        <f t="shared" si="24"/>
        <v>0</v>
      </c>
      <c r="DL4" s="264" t="b">
        <f>IF(E4="Imperial",IF(P4&gt;0,VLOOKUP(P4,CuWtTrans!$A$2:$G$19,6,TRUE)),IF(P4&gt;0,VLOOKUP(P4,CuWtTrans!$A$2:$G$19,5,TRUE)))</f>
        <v>0</v>
      </c>
      <c r="DM4" s="264">
        <f t="shared" si="25"/>
        <v>0</v>
      </c>
      <c r="DN4" s="264">
        <f t="shared" si="25"/>
        <v>0</v>
      </c>
    </row>
    <row r="5" spans="1:121" ht="11.25" customHeight="1">
      <c r="A5" s="224" t="str">
        <f t="shared" si="11"/>
        <v>Core   0.000mm / #</v>
      </c>
      <c r="B5" s="226" t="str">
        <f t="shared" si="12"/>
        <v>0.000mm /</v>
      </c>
      <c r="C5" s="226" t="str">
        <f t="shared" si="26"/>
        <v>DUPE</v>
      </c>
      <c r="D5" s="226">
        <v>0</v>
      </c>
      <c r="E5" s="226" t="s">
        <v>449</v>
      </c>
      <c r="F5" s="387"/>
      <c r="G5" s="387"/>
      <c r="I5" s="269"/>
      <c r="J5" s="269"/>
      <c r="K5" s="388"/>
      <c r="L5" s="269"/>
      <c r="M5" s="269"/>
      <c r="O5" s="274"/>
      <c r="P5" s="274"/>
      <c r="S5" s="276"/>
      <c r="T5" s="267" t="s">
        <v>85</v>
      </c>
      <c r="Y5" s="269"/>
      <c r="Z5" s="269"/>
      <c r="AA5" s="269"/>
      <c r="AB5" s="269"/>
      <c r="AC5" s="269"/>
      <c r="AD5" s="269"/>
      <c r="AE5" s="269"/>
      <c r="AF5" s="269"/>
      <c r="AG5" s="269"/>
      <c r="AH5" s="281"/>
      <c r="AI5" s="269"/>
      <c r="AM5" s="269"/>
      <c r="BS5" s="387"/>
      <c r="BW5" s="389"/>
      <c r="BX5" s="389"/>
      <c r="BY5" s="389"/>
      <c r="BZ5" s="389"/>
      <c r="CA5" s="389"/>
      <c r="CB5" s="389"/>
      <c r="CC5" s="389"/>
      <c r="CD5" s="389"/>
      <c r="CE5" s="389"/>
      <c r="CF5" s="386"/>
      <c r="CG5" s="386"/>
      <c r="CI5" s="267">
        <v>0</v>
      </c>
      <c r="CQ5" s="226" t="b">
        <v>0</v>
      </c>
      <c r="CR5" s="234"/>
      <c r="CS5" s="226"/>
      <c r="CT5" s="226"/>
      <c r="CU5" s="386"/>
      <c r="CV5" s="257">
        <f t="shared" si="13"/>
        <v>0</v>
      </c>
      <c r="CW5" s="236">
        <f t="shared" si="14"/>
        <v>0</v>
      </c>
      <c r="CX5" s="236">
        <f t="shared" si="15"/>
        <v>0</v>
      </c>
      <c r="CY5" s="237">
        <f t="shared" si="16"/>
        <v>0</v>
      </c>
      <c r="CZ5" s="237" t="e">
        <f>IF(T5="C",VLOOKUP(CY5,CuWtTrans!$A$36:$G$46,7,TRUE),IF(T5="B",VLOOKUP(CY5,CuWtTrans!$A$36:$G$46,6,TRUE),IF(T5="A",VLOOKUP(CY5,CuWtTrans!$A$36:$G$46,5,TRUE))))</f>
        <v>#N/A</v>
      </c>
      <c r="DA5" s="238" t="e">
        <f>IF(T5="C",VLOOKUP(CY5,CuWtTrans!$A$36:$J$46,10,TRUE),IF(T5="B",VLOOKUP(CY5,CuWtTrans!$A$36:$J$46,9,TRUE),IF(T5="A",VLOOKUP(CY5,CuWtTrans!$A$36:$J$46,8,TRUE))))</f>
        <v>#N/A</v>
      </c>
      <c r="DB5" s="263" t="e">
        <f t="shared" si="17"/>
        <v>#N/A</v>
      </c>
      <c r="DC5" s="263" t="e">
        <f t="shared" si="18"/>
        <v>#N/A</v>
      </c>
      <c r="DD5" s="389">
        <f t="shared" si="19"/>
        <v>0</v>
      </c>
      <c r="DE5" s="387">
        <f t="shared" si="20"/>
        <v>0</v>
      </c>
      <c r="DF5" s="387">
        <f t="shared" si="21"/>
        <v>0</v>
      </c>
      <c r="DG5" s="388">
        <f t="shared" si="22"/>
        <v>0</v>
      </c>
      <c r="DH5" s="258" t="str">
        <f t="shared" si="23"/>
        <v>Vertical</v>
      </c>
      <c r="DI5" s="264" t="b">
        <f>IF(E5="Imperial",IF(O5&gt;0,VLOOKUP(O5,CuWtTrans!$A$2:$G$19,6,TRUE)),IF(O5&gt;0,VLOOKUP(O5,CuWtTrans!$A$2:$G$19,5,TRUE)))</f>
        <v>0</v>
      </c>
      <c r="DJ5" s="264">
        <f t="shared" si="24"/>
        <v>0</v>
      </c>
      <c r="DK5" s="264">
        <f t="shared" si="24"/>
        <v>0</v>
      </c>
      <c r="DL5" s="264" t="b">
        <f>IF(E5="Imperial",IF(P5&gt;0,VLOOKUP(P5,CuWtTrans!$A$2:$G$19,6,TRUE)),IF(P5&gt;0,VLOOKUP(P5,CuWtTrans!$A$2:$G$19,5,TRUE)))</f>
        <v>0</v>
      </c>
      <c r="DM5" s="264">
        <f t="shared" si="25"/>
        <v>0</v>
      </c>
      <c r="DN5" s="264">
        <f t="shared" si="25"/>
        <v>0</v>
      </c>
    </row>
    <row r="6" spans="1:121" ht="11.25" customHeight="1">
      <c r="A6" s="224" t="str">
        <f t="shared" ref="A6:A11" si="27">"Core "&amp;F6&amp;" "&amp;G6&amp;" "&amp;FIXED(J6,3)&amp;"mm "&amp;IF(O6=0.33,"L",IF(O6=0.5,"H",IF(O6=0.6,"Z",O6)))&amp;"/"&amp;IF(P6=0.33,"L",IF(P6=0.5,"H",IF(P6=0.6,"Z",P6)))&amp;IF(J6&lt;=0.1," #"&amp;S6,"")</f>
        <v>Core   0.000mm / #</v>
      </c>
      <c r="B6" s="226" t="str">
        <f t="shared" ref="B6:B11" si="28">FIXED(J6,3)&amp;"mm "&amp;IF(O6=0.33,"L",IF(O6=0.5,"H",IF(O6=0.6,"Z",O6)))&amp;"/"&amp;IF(P6=0.33,"L",IF(P6=0.5,"H",IF(P6=0.6,"Z",P6)))</f>
        <v>0.000mm /</v>
      </c>
      <c r="C6" s="226" t="str">
        <f t="shared" ref="C6:C11" si="29">IF(OR(A6=A5,A6=A7),"DUPE","--")</f>
        <v>DUPE</v>
      </c>
      <c r="D6" s="226">
        <v>0</v>
      </c>
      <c r="E6" s="226" t="s">
        <v>449</v>
      </c>
      <c r="F6" s="387"/>
      <c r="G6" s="387"/>
      <c r="I6" s="269"/>
      <c r="J6" s="269"/>
      <c r="K6" s="388"/>
      <c r="L6" s="269"/>
      <c r="M6" s="269"/>
      <c r="O6" s="274"/>
      <c r="P6" s="274"/>
      <c r="S6" s="276"/>
      <c r="T6" s="267" t="s">
        <v>85</v>
      </c>
      <c r="Y6" s="269"/>
      <c r="Z6" s="269"/>
      <c r="AA6" s="269"/>
      <c r="AB6" s="269"/>
      <c r="AC6" s="269"/>
      <c r="AD6" s="269"/>
      <c r="AE6" s="269"/>
      <c r="AF6" s="269"/>
      <c r="AG6" s="269"/>
      <c r="AH6" s="281"/>
      <c r="AI6" s="269"/>
      <c r="AM6" s="269"/>
      <c r="BS6" s="387"/>
      <c r="BW6" s="389"/>
      <c r="BX6" s="389"/>
      <c r="BY6" s="389"/>
      <c r="BZ6" s="389"/>
      <c r="CA6" s="389"/>
      <c r="CB6" s="389"/>
      <c r="CC6" s="389"/>
      <c r="CD6" s="389"/>
      <c r="CE6" s="389"/>
      <c r="CF6" s="386"/>
      <c r="CG6" s="386"/>
      <c r="CI6" s="267">
        <v>0</v>
      </c>
      <c r="CQ6" s="226" t="b">
        <v>0</v>
      </c>
      <c r="CR6" s="234"/>
      <c r="CS6" s="226"/>
      <c r="CT6" s="226"/>
      <c r="CU6" s="386"/>
      <c r="CV6" s="257">
        <f t="shared" ref="CV6:CV11" si="30">IFERROR(IF(F6="Panasonic",J6,IF(AND(J6&gt;=0.8,N6=TRUE,OR(F6="EMC",F6="Shengyi",F6="Isola",F6="Doosan",F6="Hitachi")),J6-(DI6/1000+DL6/1000),IF(AND(J6=0.8,F6="Nanya"),J6,IF(AND(J6=0.77,F6="Nanya"),J6-(DI6/1000+DL6/1000),IF(AND(J6&lt;0.8),J6,IF(AND(J6&gt;0.8),J6-(DI6/1000+DL6/1000))))))),"Xác nhận lại")</f>
        <v>0</v>
      </c>
      <c r="CW6" s="236">
        <f t="shared" ref="CW6:CW11" si="31">CV6</f>
        <v>0</v>
      </c>
      <c r="CX6" s="236">
        <f t="shared" ref="CX6:CX11" si="32">IF(E6="Metric",IF(CV6&lt;7,CV6*1000,CV6),IF(CV6&lt;1,CV6*25.4*1000,CV6*25.4))</f>
        <v>0</v>
      </c>
      <c r="CY6" s="237">
        <f t="shared" ref="CY6:CY11" si="33">IF(CX6&lt;25,0,IF(CX6&lt;120,25,IF(CX6&lt;165,120,IF(CX6&lt;300,165,IF(CX6&lt;500,300,IF(CX6&lt;786,500,IF(CX6&lt;1040,786,IF(CX6&lt;1675,1040,0))))))))</f>
        <v>0</v>
      </c>
      <c r="CZ6" s="237" t="e">
        <f>IF(T6="C",VLOOKUP(CY6,CuWtTrans!$A$36:$G$46,7,TRUE),IF(T6="B",VLOOKUP(CY6,CuWtTrans!$A$36:$G$46,6,TRUE),IF(T6="A",VLOOKUP(CY6,CuWtTrans!$A$36:$G$46,5,TRUE))))</f>
        <v>#N/A</v>
      </c>
      <c r="DA6" s="238" t="e">
        <f>IF(T6="C",VLOOKUP(CY6,CuWtTrans!$A$36:$J$46,10,TRUE),IF(T6="B",VLOOKUP(CY6,CuWtTrans!$A$36:$J$46,9,TRUE),IF(T6="A",VLOOKUP(CY6,CuWtTrans!$A$36:$J$46,8,TRUE))))</f>
        <v>#N/A</v>
      </c>
      <c r="DB6" s="263" t="e">
        <f t="shared" ref="DB6:DB11" si="34">IF(E6="Metric",CZ6,DA6)</f>
        <v>#N/A</v>
      </c>
      <c r="DC6" s="263" t="e">
        <f t="shared" ref="DC6:DC11" si="35">DB6</f>
        <v>#N/A</v>
      </c>
      <c r="DD6" s="389">
        <f t="shared" ref="DD6:DD11" si="36">Y6</f>
        <v>0</v>
      </c>
      <c r="DE6" s="387">
        <f t="shared" ref="DE6:DE11" si="37">Z6</f>
        <v>0</v>
      </c>
      <c r="DF6" s="387">
        <f t="shared" ref="DF6:DF11" si="38">IF(W6=0,U6,IF(W6=V6,V6,U6))</f>
        <v>0</v>
      </c>
      <c r="DG6" s="388">
        <f t="shared" ref="DG6:DG11" si="39">IF(W6=0,V6,IF(W6=V6,U6,V6))</f>
        <v>0</v>
      </c>
      <c r="DH6" s="258" t="str">
        <f t="shared" ref="DH6:DH11" si="40">IF(W6=DG6,"Vertical","Horizontal")</f>
        <v>Vertical</v>
      </c>
      <c r="DI6" s="264" t="b">
        <f>IF(E6="Imperial",IF(O6&gt;0,VLOOKUP(O6,CuWtTrans!$A$2:$G$19,6,TRUE)),IF(O6&gt;0,VLOOKUP(O6,CuWtTrans!$A$2:$G$19,5,TRUE)))</f>
        <v>0</v>
      </c>
      <c r="DJ6" s="264">
        <f t="shared" si="24"/>
        <v>0</v>
      </c>
      <c r="DK6" s="264">
        <f t="shared" si="24"/>
        <v>0</v>
      </c>
      <c r="DL6" s="264" t="b">
        <f>IF(E6="Imperial",IF(P6&gt;0,VLOOKUP(P6,CuWtTrans!$A$2:$G$19,6,TRUE)),IF(P6&gt;0,VLOOKUP(P6,CuWtTrans!$A$2:$G$19,5,TRUE)))</f>
        <v>0</v>
      </c>
      <c r="DM6" s="264">
        <f t="shared" si="25"/>
        <v>0</v>
      </c>
      <c r="DN6" s="264">
        <f t="shared" si="25"/>
        <v>0</v>
      </c>
    </row>
    <row r="7" spans="1:121" ht="11.25" customHeight="1">
      <c r="A7" s="224" t="str">
        <f t="shared" si="27"/>
        <v>Core   0.000mm / #</v>
      </c>
      <c r="B7" s="226" t="str">
        <f t="shared" si="28"/>
        <v>0.000mm /</v>
      </c>
      <c r="C7" s="226" t="str">
        <f t="shared" si="29"/>
        <v>DUPE</v>
      </c>
      <c r="D7" s="226">
        <v>0</v>
      </c>
      <c r="E7" s="226" t="s">
        <v>449</v>
      </c>
      <c r="F7" s="387"/>
      <c r="G7" s="387"/>
      <c r="I7" s="269"/>
      <c r="J7" s="269"/>
      <c r="K7" s="388"/>
      <c r="L7" s="269"/>
      <c r="M7" s="269"/>
      <c r="O7" s="274"/>
      <c r="P7" s="274"/>
      <c r="S7" s="276"/>
      <c r="T7" s="267" t="s">
        <v>85</v>
      </c>
      <c r="Y7" s="269"/>
      <c r="Z7" s="269"/>
      <c r="AA7" s="269"/>
      <c r="AB7" s="269"/>
      <c r="AC7" s="269"/>
      <c r="AD7" s="269"/>
      <c r="AE7" s="269"/>
      <c r="AF7" s="269"/>
      <c r="AG7" s="269"/>
      <c r="AH7" s="281"/>
      <c r="AI7" s="269"/>
      <c r="AM7" s="269"/>
      <c r="BS7" s="387"/>
      <c r="BW7" s="389"/>
      <c r="BX7" s="389"/>
      <c r="BY7" s="389"/>
      <c r="BZ7" s="389"/>
      <c r="CA7" s="389"/>
      <c r="CB7" s="389"/>
      <c r="CC7" s="389"/>
      <c r="CD7" s="389"/>
      <c r="CE7" s="389"/>
      <c r="CF7" s="386"/>
      <c r="CG7" s="386"/>
      <c r="CI7" s="267">
        <v>0</v>
      </c>
      <c r="CQ7" s="226" t="b">
        <v>0</v>
      </c>
      <c r="CR7" s="234"/>
      <c r="CS7" s="226"/>
      <c r="CT7" s="226"/>
      <c r="CU7" s="386"/>
      <c r="CV7" s="257">
        <f t="shared" si="30"/>
        <v>0</v>
      </c>
      <c r="CW7" s="236">
        <f t="shared" si="31"/>
        <v>0</v>
      </c>
      <c r="CX7" s="236">
        <f t="shared" si="32"/>
        <v>0</v>
      </c>
      <c r="CY7" s="237">
        <f t="shared" si="33"/>
        <v>0</v>
      </c>
      <c r="CZ7" s="237" t="e">
        <f>IF(T7="C",VLOOKUP(CY7,CuWtTrans!$A$36:$G$46,7,TRUE),IF(T7="B",VLOOKUP(CY7,CuWtTrans!$A$36:$G$46,6,TRUE),IF(T7="A",VLOOKUP(CY7,CuWtTrans!$A$36:$G$46,5,TRUE))))</f>
        <v>#N/A</v>
      </c>
      <c r="DA7" s="238" t="e">
        <f>IF(T7="C",VLOOKUP(CY7,CuWtTrans!$A$36:$J$46,10,TRUE),IF(T7="B",VLOOKUP(CY7,CuWtTrans!$A$36:$J$46,9,TRUE),IF(T7="A",VLOOKUP(CY7,CuWtTrans!$A$36:$J$46,8,TRUE))))</f>
        <v>#N/A</v>
      </c>
      <c r="DB7" s="263" t="e">
        <f t="shared" si="34"/>
        <v>#N/A</v>
      </c>
      <c r="DC7" s="263" t="e">
        <f t="shared" si="35"/>
        <v>#N/A</v>
      </c>
      <c r="DD7" s="389">
        <f t="shared" si="36"/>
        <v>0</v>
      </c>
      <c r="DE7" s="387">
        <f t="shared" si="37"/>
        <v>0</v>
      </c>
      <c r="DF7" s="387">
        <f t="shared" si="38"/>
        <v>0</v>
      </c>
      <c r="DG7" s="388">
        <f t="shared" si="39"/>
        <v>0</v>
      </c>
      <c r="DH7" s="258" t="str">
        <f t="shared" si="40"/>
        <v>Vertical</v>
      </c>
      <c r="DI7" s="264" t="b">
        <f>IF(E7="Imperial",IF(O7&gt;0,VLOOKUP(O7,CuWtTrans!$A$2:$G$19,6,TRUE)),IF(O7&gt;0,VLOOKUP(O7,CuWtTrans!$A$2:$G$19,5,TRUE)))</f>
        <v>0</v>
      </c>
      <c r="DJ7" s="264">
        <f t="shared" si="24"/>
        <v>0</v>
      </c>
      <c r="DK7" s="264">
        <f t="shared" si="24"/>
        <v>0</v>
      </c>
      <c r="DL7" s="264" t="b">
        <f>IF(E7="Imperial",IF(P7&gt;0,VLOOKUP(P7,CuWtTrans!$A$2:$G$19,6,TRUE)),IF(P7&gt;0,VLOOKUP(P7,CuWtTrans!$A$2:$G$19,5,TRUE)))</f>
        <v>0</v>
      </c>
      <c r="DM7" s="264">
        <f t="shared" si="25"/>
        <v>0</v>
      </c>
      <c r="DN7" s="264">
        <f t="shared" si="25"/>
        <v>0</v>
      </c>
    </row>
    <row r="8" spans="1:121" ht="11.25" customHeight="1">
      <c r="A8" s="224" t="str">
        <f t="shared" si="27"/>
        <v>Core   0.000mm / #</v>
      </c>
      <c r="B8" s="226" t="str">
        <f t="shared" si="28"/>
        <v>0.000mm /</v>
      </c>
      <c r="C8" s="226" t="str">
        <f t="shared" si="29"/>
        <v>DUPE</v>
      </c>
      <c r="D8" s="226">
        <v>0</v>
      </c>
      <c r="E8" s="226" t="s">
        <v>449</v>
      </c>
      <c r="F8" s="387"/>
      <c r="G8" s="387"/>
      <c r="I8" s="269"/>
      <c r="J8" s="269"/>
      <c r="K8" s="388"/>
      <c r="L8" s="269"/>
      <c r="M8" s="269"/>
      <c r="O8" s="274"/>
      <c r="P8" s="274"/>
      <c r="S8" s="276"/>
      <c r="T8" s="267" t="s">
        <v>85</v>
      </c>
      <c r="Y8" s="269"/>
      <c r="Z8" s="269"/>
      <c r="AA8" s="269"/>
      <c r="AB8" s="269"/>
      <c r="AC8" s="269"/>
      <c r="AD8" s="269"/>
      <c r="AE8" s="269"/>
      <c r="AF8" s="269"/>
      <c r="AG8" s="269"/>
      <c r="AH8" s="281"/>
      <c r="AI8" s="269"/>
      <c r="AM8" s="269"/>
      <c r="BS8" s="387"/>
      <c r="BW8" s="389"/>
      <c r="BX8" s="389"/>
      <c r="BY8" s="389"/>
      <c r="BZ8" s="389"/>
      <c r="CA8" s="389"/>
      <c r="CB8" s="389"/>
      <c r="CC8" s="389"/>
      <c r="CD8" s="389"/>
      <c r="CE8" s="389"/>
      <c r="CF8" s="386"/>
      <c r="CG8" s="386"/>
      <c r="CI8" s="267">
        <v>0</v>
      </c>
      <c r="CQ8" s="226" t="b">
        <v>0</v>
      </c>
      <c r="CR8" s="234"/>
      <c r="CS8" s="226"/>
      <c r="CT8" s="226"/>
      <c r="CU8" s="386"/>
      <c r="CV8" s="257">
        <f t="shared" si="30"/>
        <v>0</v>
      </c>
      <c r="CW8" s="236">
        <f t="shared" si="31"/>
        <v>0</v>
      </c>
      <c r="CX8" s="236">
        <f t="shared" si="32"/>
        <v>0</v>
      </c>
      <c r="CY8" s="237">
        <f t="shared" si="33"/>
        <v>0</v>
      </c>
      <c r="CZ8" s="237" t="e">
        <f>IF(T8="C",VLOOKUP(CY8,CuWtTrans!$A$36:$G$46,7,TRUE),IF(T8="B",VLOOKUP(CY8,CuWtTrans!$A$36:$G$46,6,TRUE),IF(T8="A",VLOOKUP(CY8,CuWtTrans!$A$36:$G$46,5,TRUE))))</f>
        <v>#N/A</v>
      </c>
      <c r="DA8" s="238" t="e">
        <f>IF(T8="C",VLOOKUP(CY8,CuWtTrans!$A$36:$J$46,10,TRUE),IF(T8="B",VLOOKUP(CY8,CuWtTrans!$A$36:$J$46,9,TRUE),IF(T8="A",VLOOKUP(CY8,CuWtTrans!$A$36:$J$46,8,TRUE))))</f>
        <v>#N/A</v>
      </c>
      <c r="DB8" s="263" t="e">
        <f t="shared" si="34"/>
        <v>#N/A</v>
      </c>
      <c r="DC8" s="263" t="e">
        <f t="shared" si="35"/>
        <v>#N/A</v>
      </c>
      <c r="DD8" s="389">
        <f t="shared" si="36"/>
        <v>0</v>
      </c>
      <c r="DE8" s="387">
        <f t="shared" si="37"/>
        <v>0</v>
      </c>
      <c r="DF8" s="387">
        <f t="shared" si="38"/>
        <v>0</v>
      </c>
      <c r="DG8" s="388">
        <f t="shared" si="39"/>
        <v>0</v>
      </c>
      <c r="DH8" s="258" t="str">
        <f t="shared" si="40"/>
        <v>Vertical</v>
      </c>
      <c r="DI8" s="264" t="b">
        <f>IF(E8="Imperial",IF(O8&gt;0,VLOOKUP(O8,CuWtTrans!$A$2:$G$19,6,TRUE)),IF(O8&gt;0,VLOOKUP(O8,CuWtTrans!$A$2:$G$19,5,TRUE)))</f>
        <v>0</v>
      </c>
      <c r="DJ8" s="264">
        <f t="shared" si="24"/>
        <v>0</v>
      </c>
      <c r="DK8" s="264">
        <f t="shared" si="24"/>
        <v>0</v>
      </c>
      <c r="DL8" s="264" t="b">
        <f>IF(E8="Imperial",IF(P8&gt;0,VLOOKUP(P8,CuWtTrans!$A$2:$G$19,6,TRUE)),IF(P8&gt;0,VLOOKUP(P8,CuWtTrans!$A$2:$G$19,5,TRUE)))</f>
        <v>0</v>
      </c>
      <c r="DM8" s="264">
        <f t="shared" si="25"/>
        <v>0</v>
      </c>
      <c r="DN8" s="264">
        <f t="shared" si="25"/>
        <v>0</v>
      </c>
    </row>
    <row r="9" spans="1:121" ht="11.25" customHeight="1">
      <c r="A9" s="224" t="str">
        <f t="shared" si="27"/>
        <v>Core   0.000mm / #</v>
      </c>
      <c r="B9" s="226" t="str">
        <f t="shared" si="28"/>
        <v>0.000mm /</v>
      </c>
      <c r="C9" s="226" t="str">
        <f t="shared" si="29"/>
        <v>DUPE</v>
      </c>
      <c r="D9" s="226">
        <v>0</v>
      </c>
      <c r="E9" s="226" t="s">
        <v>449</v>
      </c>
      <c r="F9" s="387"/>
      <c r="G9" s="387"/>
      <c r="I9" s="269"/>
      <c r="J9" s="269"/>
      <c r="K9" s="388"/>
      <c r="L9" s="269"/>
      <c r="M9" s="269"/>
      <c r="O9" s="274"/>
      <c r="P9" s="274"/>
      <c r="S9" s="276"/>
      <c r="T9" s="267" t="s">
        <v>85</v>
      </c>
      <c r="Y9" s="269"/>
      <c r="Z9" s="269"/>
      <c r="AA9" s="269"/>
      <c r="AB9" s="269"/>
      <c r="AC9" s="269"/>
      <c r="AD9" s="269"/>
      <c r="AE9" s="269"/>
      <c r="AF9" s="269"/>
      <c r="AG9" s="269"/>
      <c r="AH9" s="281"/>
      <c r="AI9" s="269"/>
      <c r="AM9" s="269"/>
      <c r="BS9" s="387"/>
      <c r="BW9" s="389"/>
      <c r="BX9" s="389"/>
      <c r="BY9" s="389"/>
      <c r="BZ9" s="389"/>
      <c r="CA9" s="389"/>
      <c r="CB9" s="389"/>
      <c r="CC9" s="389"/>
      <c r="CD9" s="389"/>
      <c r="CE9" s="389"/>
      <c r="CF9" s="386"/>
      <c r="CG9" s="386"/>
      <c r="CI9" s="267">
        <v>0</v>
      </c>
      <c r="CQ9" s="226" t="b">
        <v>0</v>
      </c>
      <c r="CR9" s="234"/>
      <c r="CS9" s="226"/>
      <c r="CT9" s="226"/>
      <c r="CU9" s="386"/>
      <c r="CV9" s="257">
        <f t="shared" si="30"/>
        <v>0</v>
      </c>
      <c r="CW9" s="236">
        <f t="shared" si="31"/>
        <v>0</v>
      </c>
      <c r="CX9" s="236">
        <f t="shared" si="32"/>
        <v>0</v>
      </c>
      <c r="CY9" s="237">
        <f t="shared" si="33"/>
        <v>0</v>
      </c>
      <c r="CZ9" s="237" t="e">
        <f>IF(T9="C",VLOOKUP(CY9,CuWtTrans!$A$36:$G$46,7,TRUE),IF(T9="B",VLOOKUP(CY9,CuWtTrans!$A$36:$G$46,6,TRUE),IF(T9="A",VLOOKUP(CY9,CuWtTrans!$A$36:$G$46,5,TRUE))))</f>
        <v>#N/A</v>
      </c>
      <c r="DA9" s="238" t="e">
        <f>IF(T9="C",VLOOKUP(CY9,CuWtTrans!$A$36:$J$46,10,TRUE),IF(T9="B",VLOOKUP(CY9,CuWtTrans!$A$36:$J$46,9,TRUE),IF(T9="A",VLOOKUP(CY9,CuWtTrans!$A$36:$J$46,8,TRUE))))</f>
        <v>#N/A</v>
      </c>
      <c r="DB9" s="263" t="e">
        <f t="shared" si="34"/>
        <v>#N/A</v>
      </c>
      <c r="DC9" s="263" t="e">
        <f t="shared" si="35"/>
        <v>#N/A</v>
      </c>
      <c r="DD9" s="389">
        <f t="shared" si="36"/>
        <v>0</v>
      </c>
      <c r="DE9" s="387">
        <f t="shared" si="37"/>
        <v>0</v>
      </c>
      <c r="DF9" s="387">
        <f t="shared" si="38"/>
        <v>0</v>
      </c>
      <c r="DG9" s="388">
        <f t="shared" si="39"/>
        <v>0</v>
      </c>
      <c r="DH9" s="258" t="str">
        <f t="shared" si="40"/>
        <v>Vertical</v>
      </c>
      <c r="DI9" s="264" t="b">
        <f>IF(E9="Imperial",IF(O9&gt;0,VLOOKUP(O9,CuWtTrans!$A$2:$G$19,6,TRUE)),IF(O9&gt;0,VLOOKUP(O9,CuWtTrans!$A$2:$G$19,5,TRUE)))</f>
        <v>0</v>
      </c>
      <c r="DJ9" s="264">
        <f t="shared" si="24"/>
        <v>0</v>
      </c>
      <c r="DK9" s="264">
        <f t="shared" si="24"/>
        <v>0</v>
      </c>
      <c r="DL9" s="264" t="b">
        <f>IF(E9="Imperial",IF(P9&gt;0,VLOOKUP(P9,CuWtTrans!$A$2:$G$19,6,TRUE)),IF(P9&gt;0,VLOOKUP(P9,CuWtTrans!$A$2:$G$19,5,TRUE)))</f>
        <v>0</v>
      </c>
      <c r="DM9" s="264">
        <f t="shared" si="25"/>
        <v>0</v>
      </c>
      <c r="DN9" s="264">
        <f t="shared" si="25"/>
        <v>0</v>
      </c>
    </row>
    <row r="10" spans="1:121" ht="11.25" customHeight="1">
      <c r="A10" s="224" t="str">
        <f t="shared" si="27"/>
        <v>Core   0.000mm / #</v>
      </c>
      <c r="B10" s="226" t="str">
        <f t="shared" si="28"/>
        <v>0.000mm /</v>
      </c>
      <c r="C10" s="226" t="str">
        <f t="shared" si="29"/>
        <v>DUPE</v>
      </c>
      <c r="D10" s="226">
        <v>0</v>
      </c>
      <c r="E10" s="226" t="s">
        <v>449</v>
      </c>
      <c r="F10" s="387"/>
      <c r="G10" s="387"/>
      <c r="I10" s="269"/>
      <c r="J10" s="269"/>
      <c r="K10" s="388"/>
      <c r="L10" s="269"/>
      <c r="M10" s="269"/>
      <c r="O10" s="274"/>
      <c r="P10" s="274"/>
      <c r="S10" s="276"/>
      <c r="T10" s="267" t="s">
        <v>85</v>
      </c>
      <c r="Y10" s="269"/>
      <c r="Z10" s="269"/>
      <c r="AA10" s="269"/>
      <c r="AB10" s="269"/>
      <c r="AC10" s="269"/>
      <c r="AD10" s="269"/>
      <c r="AE10" s="269"/>
      <c r="AF10" s="269"/>
      <c r="AG10" s="269"/>
      <c r="AH10" s="281"/>
      <c r="AI10" s="269"/>
      <c r="AM10" s="269"/>
      <c r="BS10" s="387"/>
      <c r="BW10" s="389"/>
      <c r="BX10" s="389"/>
      <c r="BY10" s="389"/>
      <c r="BZ10" s="389"/>
      <c r="CA10" s="389"/>
      <c r="CB10" s="389"/>
      <c r="CC10" s="389"/>
      <c r="CD10" s="389"/>
      <c r="CE10" s="389"/>
      <c r="CF10" s="386"/>
      <c r="CG10" s="386"/>
      <c r="CI10" s="267">
        <v>0</v>
      </c>
      <c r="CQ10" s="226" t="b">
        <v>0</v>
      </c>
      <c r="CR10" s="234"/>
      <c r="CS10" s="226"/>
      <c r="CT10" s="226"/>
      <c r="CU10" s="386"/>
      <c r="CV10" s="257">
        <f t="shared" si="30"/>
        <v>0</v>
      </c>
      <c r="CW10" s="236">
        <f t="shared" si="31"/>
        <v>0</v>
      </c>
      <c r="CX10" s="236">
        <f t="shared" si="32"/>
        <v>0</v>
      </c>
      <c r="CY10" s="237">
        <f t="shared" si="33"/>
        <v>0</v>
      </c>
      <c r="CZ10" s="237" t="e">
        <f>IF(T10="C",VLOOKUP(CY10,CuWtTrans!$A$36:$G$46,7,TRUE),IF(T10="B",VLOOKUP(CY10,CuWtTrans!$A$36:$G$46,6,TRUE),IF(T10="A",VLOOKUP(CY10,CuWtTrans!$A$36:$G$46,5,TRUE))))</f>
        <v>#N/A</v>
      </c>
      <c r="DA10" s="238" t="e">
        <f>IF(T10="C",VLOOKUP(CY10,CuWtTrans!$A$36:$J$46,10,TRUE),IF(T10="B",VLOOKUP(CY10,CuWtTrans!$A$36:$J$46,9,TRUE),IF(T10="A",VLOOKUP(CY10,CuWtTrans!$A$36:$J$46,8,TRUE))))</f>
        <v>#N/A</v>
      </c>
      <c r="DB10" s="263" t="e">
        <f t="shared" si="34"/>
        <v>#N/A</v>
      </c>
      <c r="DC10" s="263" t="e">
        <f t="shared" si="35"/>
        <v>#N/A</v>
      </c>
      <c r="DD10" s="389">
        <f t="shared" si="36"/>
        <v>0</v>
      </c>
      <c r="DE10" s="387">
        <f t="shared" si="37"/>
        <v>0</v>
      </c>
      <c r="DF10" s="387">
        <f t="shared" si="38"/>
        <v>0</v>
      </c>
      <c r="DG10" s="388">
        <f t="shared" si="39"/>
        <v>0</v>
      </c>
      <c r="DH10" s="258" t="str">
        <f t="shared" si="40"/>
        <v>Vertical</v>
      </c>
      <c r="DI10" s="264" t="b">
        <f>IF(E10="Imperial",IF(O10&gt;0,VLOOKUP(O10,CuWtTrans!$A$2:$G$19,6,TRUE)),IF(O10&gt;0,VLOOKUP(O10,CuWtTrans!$A$2:$G$19,5,TRUE)))</f>
        <v>0</v>
      </c>
      <c r="DJ10" s="264">
        <f t="shared" si="24"/>
        <v>0</v>
      </c>
      <c r="DK10" s="264">
        <f t="shared" si="24"/>
        <v>0</v>
      </c>
      <c r="DL10" s="264" t="b">
        <f>IF(E10="Imperial",IF(P10&gt;0,VLOOKUP(P10,CuWtTrans!$A$2:$G$19,6,TRUE)),IF(P10&gt;0,VLOOKUP(P10,CuWtTrans!$A$2:$G$19,5,TRUE)))</f>
        <v>0</v>
      </c>
      <c r="DM10" s="264">
        <f t="shared" si="25"/>
        <v>0</v>
      </c>
      <c r="DN10" s="264">
        <f t="shared" si="25"/>
        <v>0</v>
      </c>
    </row>
    <row r="11" spans="1:121" ht="11.25" customHeight="1">
      <c r="A11" s="224" t="str">
        <f t="shared" si="27"/>
        <v>Core   0.000mm / #</v>
      </c>
      <c r="B11" s="226" t="str">
        <f t="shared" si="28"/>
        <v>0.000mm /</v>
      </c>
      <c r="C11" s="226" t="str">
        <f t="shared" si="29"/>
        <v>DUPE</v>
      </c>
      <c r="D11" s="226">
        <v>0</v>
      </c>
      <c r="E11" s="226" t="s">
        <v>449</v>
      </c>
      <c r="F11" s="387"/>
      <c r="G11" s="387"/>
      <c r="I11" s="269"/>
      <c r="J11" s="269"/>
      <c r="K11" s="388"/>
      <c r="L11" s="269"/>
      <c r="M11" s="269"/>
      <c r="O11" s="274"/>
      <c r="P11" s="274"/>
      <c r="S11" s="276"/>
      <c r="T11" s="267" t="s">
        <v>85</v>
      </c>
      <c r="Y11" s="269"/>
      <c r="Z11" s="269"/>
      <c r="AA11" s="269"/>
      <c r="AB11" s="269"/>
      <c r="AC11" s="269"/>
      <c r="AD11" s="269"/>
      <c r="AE11" s="269"/>
      <c r="AF11" s="269"/>
      <c r="AG11" s="269"/>
      <c r="AH11" s="281"/>
      <c r="AI11" s="269"/>
      <c r="AM11" s="269"/>
      <c r="BS11" s="387"/>
      <c r="BW11" s="389"/>
      <c r="BX11" s="389"/>
      <c r="BY11" s="389"/>
      <c r="BZ11" s="389"/>
      <c r="CA11" s="389"/>
      <c r="CB11" s="389"/>
      <c r="CC11" s="389"/>
      <c r="CD11" s="389"/>
      <c r="CE11" s="389"/>
      <c r="CF11" s="386"/>
      <c r="CG11" s="386"/>
      <c r="CI11" s="267">
        <v>0</v>
      </c>
      <c r="CQ11" s="226" t="b">
        <v>0</v>
      </c>
      <c r="CR11" s="234"/>
      <c r="CS11" s="226"/>
      <c r="CT11" s="226"/>
      <c r="CU11" s="386"/>
      <c r="CV11" s="257">
        <f t="shared" si="30"/>
        <v>0</v>
      </c>
      <c r="CW11" s="236">
        <f t="shared" si="31"/>
        <v>0</v>
      </c>
      <c r="CX11" s="236">
        <f t="shared" si="32"/>
        <v>0</v>
      </c>
      <c r="CY11" s="237">
        <f t="shared" si="33"/>
        <v>0</v>
      </c>
      <c r="CZ11" s="237" t="e">
        <f>IF(T11="C",VLOOKUP(CY11,CuWtTrans!$A$36:$G$46,7,TRUE),IF(T11="B",VLOOKUP(CY11,CuWtTrans!$A$36:$G$46,6,TRUE),IF(T11="A",VLOOKUP(CY11,CuWtTrans!$A$36:$G$46,5,TRUE))))</f>
        <v>#N/A</v>
      </c>
      <c r="DA11" s="238" t="e">
        <f>IF(T11="C",VLOOKUP(CY11,CuWtTrans!$A$36:$J$46,10,TRUE),IF(T11="B",VLOOKUP(CY11,CuWtTrans!$A$36:$J$46,9,TRUE),IF(T11="A",VLOOKUP(CY11,CuWtTrans!$A$36:$J$46,8,TRUE))))</f>
        <v>#N/A</v>
      </c>
      <c r="DB11" s="263" t="e">
        <f t="shared" si="34"/>
        <v>#N/A</v>
      </c>
      <c r="DC11" s="263" t="e">
        <f t="shared" si="35"/>
        <v>#N/A</v>
      </c>
      <c r="DD11" s="389">
        <f t="shared" si="36"/>
        <v>0</v>
      </c>
      <c r="DE11" s="387">
        <f t="shared" si="37"/>
        <v>0</v>
      </c>
      <c r="DF11" s="387">
        <f t="shared" si="38"/>
        <v>0</v>
      </c>
      <c r="DG11" s="388">
        <f t="shared" si="39"/>
        <v>0</v>
      </c>
      <c r="DH11" s="258" t="str">
        <f t="shared" si="40"/>
        <v>Vertical</v>
      </c>
      <c r="DI11" s="264" t="b">
        <f>IF(E11="Imperial",IF(O11&gt;0,VLOOKUP(O11,CuWtTrans!$A$2:$G$19,6,TRUE)),IF(O11&gt;0,VLOOKUP(O11,CuWtTrans!$A$2:$G$19,5,TRUE)))</f>
        <v>0</v>
      </c>
      <c r="DJ11" s="264">
        <f t="shared" si="24"/>
        <v>0</v>
      </c>
      <c r="DK11" s="264">
        <f t="shared" si="24"/>
        <v>0</v>
      </c>
      <c r="DL11" s="264" t="b">
        <f>IF(E11="Imperial",IF(P11&gt;0,VLOOKUP(P11,CuWtTrans!$A$2:$G$19,6,TRUE)),IF(P11&gt;0,VLOOKUP(P11,CuWtTrans!$A$2:$G$19,5,TRUE)))</f>
        <v>0</v>
      </c>
      <c r="DM11" s="264">
        <f t="shared" si="25"/>
        <v>0</v>
      </c>
      <c r="DN11" s="264">
        <f t="shared" si="25"/>
        <v>0</v>
      </c>
    </row>
    <row r="114" spans="100:100"/>
    <row r="125" spans="100:100"/>
    <row r="126" spans="100:100"/>
    <row r="315" spans="100:100"/>
    <row r="628" spans="9:9"/>
    <row r="630" spans="9:9"/>
    <row r="633" spans="9:9"/>
    <row r="687" spans="9:9"/>
    <row r="701" spans="9:9"/>
    <row r="1027" spans="9:9"/>
    <row r="1174" spans="100:103"/>
    <row r="1182" spans="100:103"/>
    <row r="1186" spans="100:100"/>
    <row r="1277" spans="100:100"/>
    <row r="1610" spans="10:10"/>
    <row r="1614" spans="10:10"/>
    <row r="1620" spans="9:9"/>
  </sheetData>
  <autoFilter ref="A1:DQ2">
    <sortState ref="A1686:EE1704">
      <sortCondition ref="CV1:CV2440"/>
    </sortState>
  </autoFilter>
  <sortState ref="A1376:DK2395">
    <sortCondition ref="J1"/>
  </sortState>
  <conditionalFormatting sqref="CT1 F1 BS1:BV1 CF1:CG1 Y1:BH1">
    <cfRule type="cellIs" dxfId="228" priority="188" stopIfTrue="1" operator="equal">
      <formula>"TBA"</formula>
    </cfRule>
    <cfRule type="cellIs" dxfId="227" priority="189" stopIfTrue="1" operator="equal">
      <formula>"Unknown"</formula>
    </cfRule>
  </conditionalFormatting>
  <conditionalFormatting sqref="DM1:DN1 DJ1:DK1 O1:P1">
    <cfRule type="cellIs" dxfId="226" priority="203" stopIfTrue="1" operator="equal">
      <formula>"TBA"</formula>
    </cfRule>
    <cfRule type="cellIs" dxfId="225" priority="204" stopIfTrue="1" operator="equal">
      <formula>"Unknown"</formula>
    </cfRule>
  </conditionalFormatting>
  <conditionalFormatting sqref="DI1 DL1 DB1:DC1">
    <cfRule type="cellIs" dxfId="224" priority="205" stopIfTrue="1" operator="equal">
      <formula>"Unknown"</formula>
    </cfRule>
  </conditionalFormatting>
  <conditionalFormatting sqref="Q1:R1">
    <cfRule type="cellIs" dxfId="223" priority="197" stopIfTrue="1" operator="equal">
      <formula>"TBA"</formula>
    </cfRule>
    <cfRule type="cellIs" dxfId="222" priority="198" stopIfTrue="1" operator="equal">
      <formula>"Unknown"</formula>
    </cfRule>
  </conditionalFormatting>
  <conditionalFormatting sqref="DH1">
    <cfRule type="cellIs" dxfId="221" priority="185" stopIfTrue="1" operator="equal">
      <formula>"Unknown"</formula>
    </cfRule>
  </conditionalFormatting>
  <conditionalFormatting sqref="CI1">
    <cfRule type="cellIs" dxfId="220" priority="157" stopIfTrue="1" operator="equal">
      <formula>"TBA"</formula>
    </cfRule>
    <cfRule type="cellIs" dxfId="219" priority="158" stopIfTrue="1" operator="equal">
      <formula>"Unknown"</formula>
    </cfRule>
  </conditionalFormatting>
  <conditionalFormatting sqref="W1:X1">
    <cfRule type="cellIs" dxfId="218" priority="162" stopIfTrue="1" operator="equal">
      <formula>"Unknown"</formula>
    </cfRule>
  </conditionalFormatting>
  <conditionalFormatting sqref="H1:N1">
    <cfRule type="cellIs" dxfId="217" priority="160" stopIfTrue="1" operator="equal">
      <formula>"TBA"</formula>
    </cfRule>
    <cfRule type="cellIs" dxfId="216" priority="161" stopIfTrue="1" operator="equal">
      <formula>"Unknown"</formula>
    </cfRule>
  </conditionalFormatting>
  <conditionalFormatting sqref="CJ1">
    <cfRule type="cellIs" dxfId="215" priority="155" stopIfTrue="1" operator="equal">
      <formula>"TBA"</formula>
    </cfRule>
    <cfRule type="cellIs" dxfId="214" priority="156" stopIfTrue="1" operator="equal">
      <formula>"Unknown"</formula>
    </cfRule>
  </conditionalFormatting>
  <conditionalFormatting sqref="CJ1">
    <cfRule type="cellIs" dxfId="213" priority="154" stopIfTrue="1" operator="equal">
      <formula>"Unknown"</formula>
    </cfRule>
  </conditionalFormatting>
  <conditionalFormatting sqref="CS1">
    <cfRule type="cellIs" dxfId="212" priority="152" stopIfTrue="1" operator="equal">
      <formula>"TBA"</formula>
    </cfRule>
    <cfRule type="cellIs" dxfId="211" priority="153" stopIfTrue="1" operator="equal">
      <formula>"Unknown"</formula>
    </cfRule>
  </conditionalFormatting>
  <conditionalFormatting sqref="S1:V1">
    <cfRule type="cellIs" dxfId="210" priority="150" stopIfTrue="1" operator="equal">
      <formula>"TBA"</formula>
    </cfRule>
    <cfRule type="cellIs" dxfId="209" priority="151" stopIfTrue="1" operator="equal">
      <formula>"Unknown"</formula>
    </cfRule>
  </conditionalFormatting>
  <conditionalFormatting sqref="BK1:BR1 BW1">
    <cfRule type="cellIs" dxfId="208" priority="148" stopIfTrue="1" operator="equal">
      <formula>"TBA"</formula>
    </cfRule>
    <cfRule type="cellIs" dxfId="207" priority="149" stopIfTrue="1" operator="equal">
      <formula>"Unknown"</formula>
    </cfRule>
  </conditionalFormatting>
  <conditionalFormatting sqref="CM1:CP1">
    <cfRule type="cellIs" dxfId="206" priority="146" stopIfTrue="1" operator="equal">
      <formula>"TBA"</formula>
    </cfRule>
    <cfRule type="cellIs" dxfId="205" priority="147" stopIfTrue="1" operator="equal">
      <formula>"Unknown"</formula>
    </cfRule>
  </conditionalFormatting>
  <conditionalFormatting sqref="BI1:BJ1">
    <cfRule type="cellIs" dxfId="204" priority="142" stopIfTrue="1" operator="equal">
      <formula>"TBA"</formula>
    </cfRule>
    <cfRule type="cellIs" dxfId="203" priority="143" stopIfTrue="1" operator="equal">
      <formula>"Unknown"</formula>
    </cfRule>
  </conditionalFormatting>
  <conditionalFormatting sqref="CB1:CE1">
    <cfRule type="cellIs" dxfId="202" priority="140" stopIfTrue="1" operator="equal">
      <formula>"TBA"</formula>
    </cfRule>
    <cfRule type="cellIs" dxfId="201" priority="141" stopIfTrue="1" operator="equal">
      <formula>"Unknown"</formula>
    </cfRule>
  </conditionalFormatting>
  <conditionalFormatting sqref="BX1:CA1">
    <cfRule type="cellIs" dxfId="200" priority="138" stopIfTrue="1" operator="equal">
      <formula>"TBA"</formula>
    </cfRule>
    <cfRule type="cellIs" dxfId="199" priority="139" stopIfTrue="1" operator="equal">
      <formula>"Unknown"</formula>
    </cfRule>
  </conditionalFormatting>
  <conditionalFormatting sqref="DF1">
    <cfRule type="cellIs" dxfId="198" priority="137" stopIfTrue="1" operator="equal">
      <formula>"Unknown"</formula>
    </cfRule>
  </conditionalFormatting>
  <conditionalFormatting sqref="DG1">
    <cfRule type="cellIs" dxfId="197" priority="136" stopIfTrue="1" operator="equal">
      <formula>"Unknown"</formula>
    </cfRule>
  </conditionalFormatting>
  <conditionalFormatting sqref="CH1">
    <cfRule type="cellIs" dxfId="196" priority="124" stopIfTrue="1" operator="equal">
      <formula>"TBA"</formula>
    </cfRule>
    <cfRule type="cellIs" dxfId="195" priority="125" stopIfTrue="1" operator="equal">
      <formula>"Unknown"</formula>
    </cfRule>
  </conditionalFormatting>
  <conditionalFormatting sqref="A1:A1048576">
    <cfRule type="duplicateValues" dxfId="194" priority="552"/>
  </conditionalFormatting>
  <conditionalFormatting sqref="A2:A11">
    <cfRule type="duplicateValues" dxfId="193" priority="555"/>
  </conditionalFormatting>
  <dataValidations count="8">
    <dataValidation type="list" allowBlank="1" showInputMessage="1" showErrorMessage="1" sqref="BS2:BS11 CQ2:CQ11 N2:N11">
      <formula1>"TRUE, FALSE"</formula1>
    </dataValidation>
    <dataValidation type="list" allowBlank="1" showInputMessage="1" showErrorMessage="1" sqref="WZM2 WPQ2 WFU2 VVY2 VMC2 VCG2 USK2 UIO2 TYS2 TOW2 TFA2 SVE2 SLI2 SBM2 RRQ2 RHU2 QXY2 QOC2 QEG2 PUK2 PKO2 PAS2 OQW2 OHA2 NXE2 NNI2 NDM2 MTQ2 MJU2 LZY2 LQC2 LGG2 KWK2 KMO2 KCS2 JSW2 JJA2 IZE2 IPI2 IFM2 HVQ2 HLU2 HBY2 GSC2 GIG2 FYK2 FOO2 FES2 EUW2 ELA2 EBE2 DRI2 DHM2 CXQ2 CNU2 CDY2 BUC2 BKG2 BAK2 AQO2 AGS2 WW2 NA2">
      <formula1>"Any,Glass Epoxy,Polyamide"</formula1>
    </dataValidation>
    <dataValidation type="list" allowBlank="1" showInputMessage="1" showErrorMessage="1" sqref="T2:T11">
      <formula1>"A,B,C"</formula1>
    </dataValidation>
    <dataValidation type="list" allowBlank="1" showInputMessage="1" showErrorMessage="1" sqref="DH2:DH11">
      <formula1>"Ignore,Vertical,Horizontal"</formula1>
    </dataValidation>
    <dataValidation type="list" allowBlank="1" showInputMessage="1" showErrorMessage="1" sqref="E2:E11">
      <formula1>"Imperial,Metric"</formula1>
    </dataValidation>
    <dataValidation type="list" allowBlank="1" showInputMessage="1" showErrorMessage="1" sqref="CK2">
      <formula1>#REF!</formula1>
    </dataValidation>
    <dataValidation type="list" allowBlank="1" showInputMessage="1" showErrorMessage="1" sqref="CL2">
      <formula1>#REF!</formula1>
    </dataValidation>
    <dataValidation type="list" allowBlank="1" showInputMessage="1" showErrorMessage="1" sqref="G3:G11">
      <formula1>#REF!</formula1>
    </dataValidation>
  </dataValidations>
  <pageMargins left="3.9583333333333331E-2" right="3.9583333333333331E-2" top="3.9583333333333331E-2" bottom="3.9583333333333331E-2" header="0.51180555555555551" footer="0.51180555555555551"/>
  <pageSetup paperSize="8" scale="10" firstPageNumber="0"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Enums!$N$4:$N$151</xm:f>
          </x14:formula1>
          <xm:sqref>F2</xm:sqref>
        </x14:dataValidation>
        <x14:dataValidation type="list" allowBlank="1" showInputMessage="1" showErrorMessage="1">
          <x14:formula1>
            <xm:f>Enums!$L$4:$L$156</xm:f>
          </x14:formula1>
          <xm:sqref>G2</xm:sqref>
        </x14:dataValidation>
        <x14:dataValidation type="list" allowBlank="1" showInputMessage="1" showErrorMessage="1">
          <x14:formula1>
            <xm:f>Enums!$AB$4:$AB$15</xm:f>
          </x14:formula1>
          <xm:sqref>CU1:CU11</xm:sqref>
        </x14:dataValidation>
        <x14:dataValidation type="list" allowBlank="1" showInputMessage="1" showErrorMessage="1">
          <x14:formula1>
            <xm:f>Enums!$N$4:$N$17</xm:f>
          </x14:formula1>
          <xm:sqref>F3:F11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outlinePr summaryBelow="0" summaryRight="0"/>
    <pageSetUpPr fitToPage="1"/>
  </sheetPr>
  <dimension ref="A1:CU6"/>
  <sheetViews>
    <sheetView zoomScale="85" zoomScaleNormal="85" workbookViewId="0">
      <pane xSplit="1" ySplit="1" topLeftCell="AU2" activePane="bottomRight" state="frozen"/>
      <selection pane="topRight" activeCell="B1" sqref="B1"/>
      <selection pane="bottomLeft" activeCell="A5" sqref="A5"/>
      <selection pane="bottomRight" activeCell="BH23" sqref="BH23"/>
    </sheetView>
  </sheetViews>
  <sheetFormatPr defaultColWidth="10.5703125" defaultRowHeight="13.5" outlineLevelCol="1"/>
  <cols>
    <col min="1" max="1" width="42.7109375" style="89" customWidth="1"/>
    <col min="2" max="2" width="11.28515625" style="217" customWidth="1"/>
    <col min="3" max="3" width="6.7109375" style="42" bestFit="1" customWidth="1"/>
    <col min="4" max="4" width="7.85546875" style="42" bestFit="1" customWidth="1"/>
    <col min="5" max="5" width="8.85546875" style="42" customWidth="1"/>
    <col min="6" max="6" width="8.7109375" style="60" customWidth="1"/>
    <col min="7" max="7" width="13" style="60" customWidth="1"/>
    <col min="8" max="8" width="11.140625" style="310" customWidth="1"/>
    <col min="9" max="9" width="10.85546875" style="60" customWidth="1"/>
    <col min="10" max="11" width="12.42578125" style="60" customWidth="1"/>
    <col min="12" max="12" width="12" style="60" customWidth="1"/>
    <col min="13" max="13" width="10.140625" style="60" customWidth="1"/>
    <col min="14" max="14" width="12.140625" style="60" customWidth="1"/>
    <col min="15" max="15" width="12.42578125" style="60" customWidth="1"/>
    <col min="16" max="16" width="8.7109375" style="60" hidden="1" customWidth="1"/>
    <col min="17" max="17" width="9.28515625" style="42" hidden="1" customWidth="1"/>
    <col min="18" max="18" width="5.85546875" style="316" customWidth="1"/>
    <col min="19" max="19" width="6.5703125" style="60" customWidth="1"/>
    <col min="20" max="20" width="13.7109375" style="60" customWidth="1"/>
    <col min="21" max="21" width="16.140625" style="60" customWidth="1"/>
    <col min="22" max="22" width="8.42578125" style="60" customWidth="1"/>
    <col min="23" max="23" width="7.5703125" style="60" hidden="1" customWidth="1"/>
    <col min="24" max="24" width="6.42578125" style="60" hidden="1" customWidth="1"/>
    <col min="25" max="25" width="9" style="60" hidden="1" customWidth="1"/>
    <col min="26" max="27" width="7.7109375" style="60" customWidth="1"/>
    <col min="28" max="36" width="7.7109375" style="60" customWidth="1" outlineLevel="1"/>
    <col min="37" max="37" width="7.7109375" style="42" customWidth="1" outlineLevel="1"/>
    <col min="38" max="38" width="7.7109375" style="60" customWidth="1" outlineLevel="1"/>
    <col min="39" max="39" width="7.7109375" style="90" customWidth="1" outlineLevel="1"/>
    <col min="40" max="46" width="7.7109375" style="60" customWidth="1" outlineLevel="1"/>
    <col min="47" max="49" width="7.7109375" style="42" customWidth="1" outlineLevel="1"/>
    <col min="50" max="50" width="8.7109375" style="60" customWidth="1" outlineLevel="1"/>
    <col min="51" max="55" width="8.7109375" style="53" customWidth="1" outlineLevel="1"/>
    <col min="56" max="57" width="8.7109375" style="60" customWidth="1" outlineLevel="1"/>
    <col min="58" max="59" width="8.7109375" style="42" customWidth="1" outlineLevel="1"/>
    <col min="60" max="60" width="7.7109375" style="60" customWidth="1" collapsed="1"/>
    <col min="61" max="72" width="7.7109375" style="60" hidden="1" customWidth="1" outlineLevel="1"/>
    <col min="73" max="73" width="12.7109375" style="60" hidden="1" customWidth="1" outlineLevel="1"/>
    <col min="74" max="74" width="12.85546875" style="60" hidden="1" customWidth="1" outlineLevel="1"/>
    <col min="75" max="75" width="15.28515625" style="60" hidden="1" customWidth="1" outlineLevel="1"/>
    <col min="76" max="76" width="13.140625" style="89" customWidth="1"/>
    <col min="77" max="77" width="10.5703125" style="60" customWidth="1"/>
    <col min="78" max="78" width="17.28515625" style="60" customWidth="1"/>
    <col min="79" max="79" width="12.42578125" style="60" bestFit="1" customWidth="1"/>
    <col min="80" max="80" width="18.42578125" style="42" hidden="1" customWidth="1"/>
    <col min="81" max="81" width="12.5703125" style="60" customWidth="1"/>
    <col min="82" max="82" width="14.85546875" style="306" bestFit="1" customWidth="1"/>
    <col min="83" max="83" width="10.85546875" style="60" customWidth="1"/>
    <col min="84" max="84" width="11.42578125" style="60" customWidth="1"/>
    <col min="85" max="87" width="12.7109375" style="60" customWidth="1"/>
    <col min="88" max="88" width="10.85546875" style="42" customWidth="1"/>
    <col min="89" max="89" width="11.42578125" style="42" customWidth="1"/>
    <col min="90" max="90" width="12.7109375" style="60" customWidth="1"/>
    <col min="91" max="91" width="16.5703125" style="60" bestFit="1" customWidth="1"/>
    <col min="92" max="92" width="14.5703125" style="60" bestFit="1" customWidth="1"/>
    <col min="93" max="93" width="13.5703125" style="60" bestFit="1" customWidth="1"/>
    <col min="94" max="94" width="17.140625" style="60" customWidth="1"/>
    <col min="95" max="95" width="15.85546875" style="60" customWidth="1"/>
    <col min="96" max="96" width="12.7109375" style="60" customWidth="1"/>
    <col min="97" max="97" width="10.140625" style="60" hidden="1" customWidth="1"/>
    <col min="98" max="98" width="14.85546875" style="60" hidden="1" customWidth="1"/>
    <col min="99" max="99" width="17.5703125" style="60" hidden="1" customWidth="1"/>
    <col min="100" max="16384" width="10.5703125" style="60"/>
  </cols>
  <sheetData>
    <row r="1" spans="1:99" s="250" customFormat="1" ht="65.25" customHeight="1">
      <c r="A1" s="155" t="s">
        <v>50</v>
      </c>
      <c r="B1" s="155" t="s">
        <v>21</v>
      </c>
      <c r="C1" s="223" t="s">
        <v>147</v>
      </c>
      <c r="D1" s="223" t="s">
        <v>412</v>
      </c>
      <c r="E1" s="223" t="s">
        <v>409</v>
      </c>
      <c r="F1" s="220" t="s">
        <v>30</v>
      </c>
      <c r="G1" s="220" t="s">
        <v>20</v>
      </c>
      <c r="H1" s="309" t="s">
        <v>143</v>
      </c>
      <c r="I1" s="220" t="s">
        <v>13</v>
      </c>
      <c r="J1" s="218" t="s">
        <v>2104</v>
      </c>
      <c r="K1" s="223" t="s">
        <v>48</v>
      </c>
      <c r="L1" s="256" t="s">
        <v>1481</v>
      </c>
      <c r="M1" s="282" t="s">
        <v>1482</v>
      </c>
      <c r="N1" s="282" t="s">
        <v>1483</v>
      </c>
      <c r="O1" s="282" t="s">
        <v>1486</v>
      </c>
      <c r="P1" s="379" t="s">
        <v>1484</v>
      </c>
      <c r="Q1" s="379" t="s">
        <v>372</v>
      </c>
      <c r="R1" s="220" t="s">
        <v>15</v>
      </c>
      <c r="S1" s="220" t="s">
        <v>14</v>
      </c>
      <c r="T1" s="223" t="s">
        <v>46</v>
      </c>
      <c r="U1" s="220" t="s">
        <v>148</v>
      </c>
      <c r="V1" s="221" t="s">
        <v>287</v>
      </c>
      <c r="W1" s="220" t="s">
        <v>445</v>
      </c>
      <c r="X1" s="220" t="s">
        <v>446</v>
      </c>
      <c r="Y1" s="219" t="s">
        <v>448</v>
      </c>
      <c r="Z1" s="219" t="s">
        <v>375</v>
      </c>
      <c r="AA1" s="219" t="s">
        <v>381</v>
      </c>
      <c r="AB1" s="219" t="s">
        <v>2239</v>
      </c>
      <c r="AC1" s="219" t="s">
        <v>2240</v>
      </c>
      <c r="AD1" s="219" t="s">
        <v>2233</v>
      </c>
      <c r="AE1" s="219" t="s">
        <v>2234</v>
      </c>
      <c r="AF1" s="219" t="s">
        <v>2235</v>
      </c>
      <c r="AG1" s="219" t="s">
        <v>2236</v>
      </c>
      <c r="AH1" s="219" t="s">
        <v>2201</v>
      </c>
      <c r="AI1" s="219" t="s">
        <v>2202</v>
      </c>
      <c r="AJ1" s="219" t="s">
        <v>2203</v>
      </c>
      <c r="AK1" s="219" t="s">
        <v>2204</v>
      </c>
      <c r="AL1" s="219" t="s">
        <v>2205</v>
      </c>
      <c r="AM1" s="219" t="s">
        <v>2206</v>
      </c>
      <c r="AN1" s="219" t="s">
        <v>2191</v>
      </c>
      <c r="AO1" s="219" t="s">
        <v>2192</v>
      </c>
      <c r="AP1" s="219" t="s">
        <v>2207</v>
      </c>
      <c r="AQ1" s="219" t="s">
        <v>2208</v>
      </c>
      <c r="AR1" s="219" t="s">
        <v>2209</v>
      </c>
      <c r="AS1" s="219" t="s">
        <v>2210</v>
      </c>
      <c r="AT1" s="219" t="s">
        <v>2211</v>
      </c>
      <c r="AU1" s="219" t="s">
        <v>2212</v>
      </c>
      <c r="AV1" s="219" t="s">
        <v>2213</v>
      </c>
      <c r="AW1" s="219" t="s">
        <v>2214</v>
      </c>
      <c r="AX1" s="219" t="s">
        <v>2193</v>
      </c>
      <c r="AY1" s="219" t="s">
        <v>2194</v>
      </c>
      <c r="AZ1" s="219" t="s">
        <v>2195</v>
      </c>
      <c r="BA1" s="219" t="s">
        <v>2196</v>
      </c>
      <c r="BB1" s="219" t="s">
        <v>2197</v>
      </c>
      <c r="BC1" s="219" t="s">
        <v>2198</v>
      </c>
      <c r="BD1" s="219" t="s">
        <v>2199</v>
      </c>
      <c r="BE1" s="219" t="s">
        <v>2200</v>
      </c>
      <c r="BF1" s="219" t="s">
        <v>2215</v>
      </c>
      <c r="BG1" s="219" t="s">
        <v>2216</v>
      </c>
      <c r="BH1" s="219" t="s">
        <v>267</v>
      </c>
      <c r="BI1" s="381" t="s">
        <v>268</v>
      </c>
      <c r="BJ1" s="381" t="s">
        <v>269</v>
      </c>
      <c r="BK1" s="381" t="s">
        <v>270</v>
      </c>
      <c r="BL1" s="381" t="s">
        <v>426</v>
      </c>
      <c r="BM1" s="381" t="s">
        <v>427</v>
      </c>
      <c r="BN1" s="381" t="s">
        <v>428</v>
      </c>
      <c r="BO1" s="381" t="s">
        <v>429</v>
      </c>
      <c r="BP1" s="381" t="s">
        <v>430</v>
      </c>
      <c r="BQ1" s="381" t="s">
        <v>431</v>
      </c>
      <c r="BR1" s="381" t="s">
        <v>432</v>
      </c>
      <c r="BS1" s="381" t="s">
        <v>433</v>
      </c>
      <c r="BT1" s="381" t="s">
        <v>434</v>
      </c>
      <c r="BU1" s="381" t="s">
        <v>444</v>
      </c>
      <c r="BV1" s="381" t="s">
        <v>419</v>
      </c>
      <c r="BW1" s="381" t="s">
        <v>420</v>
      </c>
      <c r="BX1" s="219" t="s">
        <v>471</v>
      </c>
      <c r="BY1" s="223" t="s">
        <v>44</v>
      </c>
      <c r="BZ1" s="219" t="s">
        <v>45</v>
      </c>
      <c r="CA1" s="155" t="s">
        <v>25</v>
      </c>
      <c r="CB1" s="382" t="s">
        <v>373</v>
      </c>
      <c r="CC1" s="223" t="s">
        <v>355</v>
      </c>
      <c r="CD1" s="305" t="s">
        <v>442</v>
      </c>
      <c r="CE1" s="222" t="s">
        <v>441</v>
      </c>
      <c r="CF1" s="222" t="s">
        <v>468</v>
      </c>
      <c r="CG1" s="222" t="s">
        <v>469</v>
      </c>
      <c r="CH1" s="223" t="s">
        <v>11</v>
      </c>
      <c r="CI1" s="223" t="s">
        <v>12</v>
      </c>
      <c r="CJ1" s="223" t="s">
        <v>43</v>
      </c>
      <c r="CK1" s="223" t="s">
        <v>273</v>
      </c>
      <c r="CL1" s="223" t="s">
        <v>274</v>
      </c>
      <c r="CM1" s="223" t="s">
        <v>275</v>
      </c>
      <c r="CN1" s="223" t="s">
        <v>26</v>
      </c>
      <c r="CO1" s="223" t="s">
        <v>27</v>
      </c>
      <c r="CP1" s="223" t="s">
        <v>276</v>
      </c>
      <c r="CQ1" s="223" t="s">
        <v>47</v>
      </c>
      <c r="CR1" s="223" t="s">
        <v>118</v>
      </c>
      <c r="CS1" s="384" t="s">
        <v>22</v>
      </c>
      <c r="CT1" s="384" t="s">
        <v>23</v>
      </c>
      <c r="CU1" s="384" t="s">
        <v>24</v>
      </c>
    </row>
    <row r="2" spans="1:99" s="53" customFormat="1">
      <c r="A2" s="224" t="str">
        <f>"PP "&amp;F2&amp;" "&amp;O2&amp;" "&amp;FIXED(L2,3)&amp;"mm "&amp;B2</f>
        <v>PP EMC EM-37B(5) 0.050mm 1067 RC73%</v>
      </c>
      <c r="B2" s="225" t="str">
        <f>H2 &amp; " RC" &amp; I2 &amp; "%"</f>
        <v>1067 RC73%</v>
      </c>
      <c r="C2" s="226" t="e">
        <f>IF(OR(A2=#REF!,A2=A3),"Dupe","--")</f>
        <v>#REF!</v>
      </c>
      <c r="D2" s="226">
        <v>0</v>
      </c>
      <c r="E2" s="226" t="s">
        <v>449</v>
      </c>
      <c r="F2" s="228" t="s">
        <v>1454</v>
      </c>
      <c r="G2" s="228" t="s">
        <v>1759</v>
      </c>
      <c r="H2" s="240">
        <v>1067</v>
      </c>
      <c r="I2" s="229">
        <v>73</v>
      </c>
      <c r="J2" s="230">
        <v>6.9000000000000006E-2</v>
      </c>
      <c r="K2" s="230">
        <f>ROUND(((VLOOKUP(H2,Base!$A$5:$B$50,2,0)/2.54)+(((100*(VLOOKUP(H2,Base!$A$5:$B$50,2,0))*I2)/((100-I2)*100))/VLOOKUP(O2,Base!$E$5:$F$150,2,0)))/1000,3)</f>
        <v>7.0000000000000007E-2</v>
      </c>
      <c r="L2" s="230">
        <f>VLOOKUP(H2,Enums!$E$28:$F$101,2,0)</f>
        <v>0.05</v>
      </c>
      <c r="M2" s="240">
        <v>2</v>
      </c>
      <c r="N2" s="275" t="s">
        <v>1761</v>
      </c>
      <c r="O2" s="228" t="s">
        <v>1760</v>
      </c>
      <c r="P2" s="230"/>
      <c r="Q2" s="230"/>
      <c r="R2" s="226">
        <v>155</v>
      </c>
      <c r="S2" s="226">
        <v>155</v>
      </c>
      <c r="T2" s="230">
        <f>K2*(100-I2)/100</f>
        <v>1.89E-2</v>
      </c>
      <c r="U2" s="226" t="s">
        <v>207</v>
      </c>
      <c r="V2" s="226" t="s">
        <v>85</v>
      </c>
      <c r="W2" s="226"/>
      <c r="X2" s="226"/>
      <c r="Y2" s="231"/>
      <c r="Z2" s="349">
        <v>3.8</v>
      </c>
      <c r="AA2" s="349">
        <v>1.4999999999999999E-2</v>
      </c>
      <c r="AB2" s="349"/>
      <c r="AC2" s="349"/>
      <c r="AD2" s="349"/>
      <c r="AE2" s="349"/>
      <c r="AF2" s="349"/>
      <c r="AG2" s="349"/>
      <c r="AH2" s="233">
        <v>0</v>
      </c>
      <c r="AI2" s="233">
        <v>0</v>
      </c>
      <c r="AJ2" s="233">
        <v>0</v>
      </c>
      <c r="AK2" s="233">
        <v>0</v>
      </c>
      <c r="AL2" s="233">
        <v>0</v>
      </c>
      <c r="AM2" s="233">
        <v>0</v>
      </c>
      <c r="AN2" s="232">
        <v>0</v>
      </c>
      <c r="AO2" s="233">
        <v>0</v>
      </c>
      <c r="AP2" s="233">
        <v>0</v>
      </c>
      <c r="AQ2" s="233">
        <v>0</v>
      </c>
      <c r="AR2" s="233">
        <v>0</v>
      </c>
      <c r="AS2" s="233">
        <v>0</v>
      </c>
      <c r="AT2" s="233">
        <v>0</v>
      </c>
      <c r="AU2" s="233">
        <v>0</v>
      </c>
      <c r="AV2" s="233">
        <v>0</v>
      </c>
      <c r="AW2" s="233">
        <v>0</v>
      </c>
      <c r="AX2" s="233">
        <v>0</v>
      </c>
      <c r="AY2" s="233">
        <v>0</v>
      </c>
      <c r="AZ2" s="233">
        <v>0</v>
      </c>
      <c r="BA2" s="233">
        <v>0</v>
      </c>
      <c r="BB2" s="233">
        <v>0</v>
      </c>
      <c r="BC2" s="233">
        <v>0</v>
      </c>
      <c r="BD2" s="233">
        <v>0</v>
      </c>
      <c r="BE2" s="233">
        <v>0</v>
      </c>
      <c r="BF2" s="233">
        <v>0</v>
      </c>
      <c r="BG2" s="233">
        <v>0</v>
      </c>
      <c r="BH2" s="226" t="b">
        <v>0</v>
      </c>
      <c r="BI2" s="234" t="b">
        <v>1</v>
      </c>
      <c r="BJ2" s="278" t="str">
        <f>IF(Z2&lt;3.67,"TRUE","FALSE")</f>
        <v>FALSE</v>
      </c>
      <c r="BK2" s="278" t="str">
        <f>IF(AA2&lt;0.0125,"TRUE","FALSE")</f>
        <v>FALSE</v>
      </c>
      <c r="BL2" s="234" t="b">
        <v>0</v>
      </c>
      <c r="BM2" s="234" t="b">
        <v>0</v>
      </c>
      <c r="BN2" s="234" t="b">
        <v>0</v>
      </c>
      <c r="BO2" s="234" t="b">
        <v>0</v>
      </c>
      <c r="BP2" s="234" t="b">
        <v>0</v>
      </c>
      <c r="BQ2" s="234" t="b">
        <v>0</v>
      </c>
      <c r="BR2" s="234" t="b">
        <v>0</v>
      </c>
      <c r="BS2" s="234" t="b">
        <v>0</v>
      </c>
      <c r="BT2" s="234" t="b">
        <v>0</v>
      </c>
      <c r="BU2" s="227" t="s">
        <v>208</v>
      </c>
      <c r="BV2" s="227" t="s">
        <v>208</v>
      </c>
      <c r="BW2" s="227" t="s">
        <v>208</v>
      </c>
      <c r="BX2" s="348" t="s">
        <v>2115</v>
      </c>
      <c r="BY2" s="226">
        <v>0</v>
      </c>
      <c r="BZ2" s="226">
        <v>70</v>
      </c>
      <c r="CA2" s="226" t="b">
        <v>0</v>
      </c>
      <c r="CB2" s="227" t="str">
        <f t="shared" ref="CB2" si="0">IF(R2&lt;150,"Normal TG (&lt;150)",IF(R2&lt;170,"Middle TG (150-170)",IF(R2&gt;=170,"High TG (&gt;=170)","&lt;Not Defined&gt;")))</f>
        <v>Middle TG (150-170)</v>
      </c>
      <c r="CC2" s="235">
        <f t="shared" ref="CC2" si="1">K2</f>
        <v>7.0000000000000007E-2</v>
      </c>
      <c r="CD2" s="229">
        <f t="shared" ref="CD2" si="2">IF(E2="Metric",IF(K2&lt;7,K2*1000,K2),IF(K2&lt;1,K2*25.4*1000,K2*25.4))</f>
        <v>70</v>
      </c>
      <c r="CE2" s="237">
        <f>IF(CD2&lt;25,0,IF(CD2&lt;120,25,IF(CD2&lt;165,120,IF(CD2&lt;300,165,IF(CD2&lt;500,300,IF(CD2&lt;786,500,IF(CD2&lt;1040,786,IF(CD2&lt;1675,1040,0))))))))</f>
        <v>25</v>
      </c>
      <c r="CF2" s="238">
        <f>IF(V2="C",VLOOKUP(CE2,CuWtTrans!$A$36:$J$46,7,TRUE),IF(V2="B",VLOOKUP(CE2,CuWtTrans!$A$36:$J$46,6,TRUE),IF(V2="A",VLOOKUP(CE2,CuWtTrans!$A$36:$J$46,5,TRUE))))</f>
        <v>13</v>
      </c>
      <c r="CG2" s="238">
        <f>IF(V2="C",VLOOKUP(CE2,CuWtTrans!$A$36:$J$46,10,TRUE),IF(V2="B",VLOOKUP(CE2,CuWtTrans!$A$36:$J$46,9,TRUE),IF(V2="A",VLOOKUP(CE2,CuWtTrans!$A$36:$J$46,8,TRUE))))</f>
        <v>0.5</v>
      </c>
      <c r="CH2" s="233">
        <f t="shared" ref="CH2" si="3">IF(E2="Metric",CF2,CG2)</f>
        <v>13</v>
      </c>
      <c r="CI2" s="233">
        <f>CH2</f>
        <v>13</v>
      </c>
      <c r="CJ2" s="239">
        <f t="shared" ref="CJ2" si="4">Z2</f>
        <v>3.8</v>
      </c>
      <c r="CK2" s="239">
        <f t="shared" ref="CK2" si="5">CJ2</f>
        <v>3.8</v>
      </c>
      <c r="CL2" s="226">
        <f t="shared" ref="CL2" si="6">AA2</f>
        <v>1.4999999999999999E-2</v>
      </c>
      <c r="CM2" s="226">
        <f t="shared" ref="CM2" si="7">CL2</f>
        <v>1.4999999999999999E-2</v>
      </c>
      <c r="CN2" s="240">
        <f t="shared" ref="CN2" si="8">IF(Y2=0,W2,IF(Y2=X2,X2,W2))</f>
        <v>0</v>
      </c>
      <c r="CO2" s="240">
        <f t="shared" ref="CO2" si="9">IF(Y2=0,X2,IF(Y2=X2,W2,X2))</f>
        <v>0</v>
      </c>
      <c r="CP2" s="241" t="str">
        <f t="shared" ref="CP2" si="10">IF(Y2=CO2,"Vertical","Horizontal")</f>
        <v>Vertical</v>
      </c>
      <c r="CQ2" s="242">
        <f t="shared" ref="CQ2" si="11">(K2-T2)*0.95</f>
        <v>4.8545000000000005E-2</v>
      </c>
      <c r="CR2" s="242">
        <f t="shared" ref="CR2" si="12">T2</f>
        <v>1.89E-2</v>
      </c>
      <c r="CS2" s="227"/>
      <c r="CT2" s="226"/>
      <c r="CU2" s="227"/>
    </row>
    <row r="3" spans="1:99">
      <c r="A3" s="224" t="e">
        <f t="shared" ref="A3:A4" si="13">"PP "&amp;F3&amp;" "&amp;O3&amp;" "&amp;FIXED(L3,3)&amp;"mm "&amp;B3</f>
        <v>#N/A</v>
      </c>
      <c r="B3" s="225" t="str">
        <f t="shared" ref="B3:B4" si="14">H3 &amp; " RC" &amp; I3 &amp; "%"</f>
        <v xml:space="preserve"> RC%</v>
      </c>
      <c r="C3" s="226" t="e">
        <f>IF(OR(A3=#REF!,A3=A4),"Dupe","--")</f>
        <v>#N/A</v>
      </c>
      <c r="D3" s="226">
        <v>0</v>
      </c>
      <c r="E3" s="226" t="s">
        <v>449</v>
      </c>
      <c r="F3" s="387"/>
      <c r="G3" s="387"/>
      <c r="H3" s="388"/>
      <c r="I3" s="249"/>
      <c r="J3" s="244"/>
      <c r="K3" s="230" t="e">
        <f>ROUND(((VLOOKUP(H3,Base!$A$5:$B$22,2,0)/2.54)+(((100*(VLOOKUP(H3,Base!$A$5:$B$22,2,0))*I3)/((100-I3)*100))/VLOOKUP(O3,Base!$E$5:$F$60,2,0)))/1000,3)</f>
        <v>#N/A</v>
      </c>
      <c r="L3" s="230" t="e">
        <f>VLOOKUP(H3,Enums!$E$28:$F$49,2,0)</f>
        <v>#N/A</v>
      </c>
      <c r="M3" s="390"/>
      <c r="N3" s="244"/>
      <c r="O3" s="244"/>
      <c r="P3" s="244"/>
      <c r="Q3" s="246"/>
      <c r="R3" s="279"/>
      <c r="S3" s="245"/>
      <c r="T3" s="230" t="e">
        <f t="shared" ref="T3:T4" si="15">K3*(100-I3)/100</f>
        <v>#N/A</v>
      </c>
      <c r="U3" s="226" t="s">
        <v>207</v>
      </c>
      <c r="V3" s="226" t="s">
        <v>85</v>
      </c>
      <c r="W3" s="245"/>
      <c r="X3" s="245"/>
      <c r="Y3" s="245"/>
      <c r="Z3" s="244"/>
      <c r="AA3" s="244"/>
      <c r="AB3" s="244"/>
      <c r="AC3" s="245"/>
      <c r="AD3" s="244"/>
      <c r="AE3" s="245"/>
      <c r="AF3" s="244"/>
      <c r="AG3" s="245"/>
      <c r="AH3" s="244"/>
      <c r="AI3" s="245"/>
      <c r="AJ3" s="244"/>
      <c r="AK3" s="245"/>
      <c r="AL3" s="244"/>
      <c r="AM3" s="245"/>
      <c r="AN3" s="244"/>
      <c r="AO3" s="245"/>
      <c r="AP3" s="244"/>
      <c r="AQ3" s="245"/>
      <c r="AR3" s="244"/>
      <c r="AS3" s="245"/>
      <c r="AT3" s="244"/>
      <c r="AU3" s="245"/>
      <c r="AV3" s="244"/>
      <c r="AW3" s="245"/>
      <c r="AX3" s="244"/>
      <c r="AY3" s="245"/>
      <c r="AZ3" s="244"/>
      <c r="BA3" s="245"/>
      <c r="BB3" s="244"/>
      <c r="BC3" s="245"/>
      <c r="BD3" s="244"/>
      <c r="BE3" s="245"/>
      <c r="BF3" s="244"/>
      <c r="BG3" s="245"/>
      <c r="BH3" s="226"/>
      <c r="BI3" s="245"/>
      <c r="BJ3" s="245"/>
      <c r="BK3" s="245"/>
      <c r="BL3" s="245"/>
      <c r="BM3" s="245"/>
      <c r="BN3" s="245"/>
      <c r="BO3" s="245"/>
      <c r="BP3" s="245"/>
      <c r="BQ3" s="245"/>
      <c r="BR3" s="245"/>
      <c r="BS3" s="245"/>
      <c r="BT3" s="245"/>
      <c r="BU3" s="245"/>
      <c r="BV3" s="245"/>
      <c r="BW3" s="245"/>
      <c r="BX3" s="243"/>
      <c r="BY3" s="245">
        <v>0</v>
      </c>
      <c r="BZ3" s="245"/>
      <c r="CA3" s="226" t="b">
        <v>0</v>
      </c>
      <c r="CB3" s="386"/>
      <c r="CC3" s="235" t="e">
        <f t="shared" ref="CC3:CC4" si="16">K3</f>
        <v>#N/A</v>
      </c>
      <c r="CD3" s="229" t="e">
        <f t="shared" ref="CD3:CD4" si="17">IF(E3="Metric",IF(K3&lt;7,K3*1000,K3),IF(K3&lt;1,K3*25.4*1000,K3*25.4))</f>
        <v>#N/A</v>
      </c>
      <c r="CE3" s="237" t="e">
        <f t="shared" ref="CE3:CE4" si="18">IF(CD3&lt;25,0,IF(CD3&lt;120,25,IF(CD3&lt;165,120,IF(CD3&lt;300,165,IF(CD3&lt;500,300,IF(CD3&lt;786,500,IF(CD3&lt;1040,786,IF(CD3&lt;1675,1040,0))))))))</f>
        <v>#N/A</v>
      </c>
      <c r="CF3" s="238" t="e">
        <f>IF(V3="C",VLOOKUP(CE3,CuWtTrans!$A$36:$J$46,7,TRUE),IF(V3="B",VLOOKUP(CE3,CuWtTrans!$A$36:$J$46,6,TRUE),IF(V3="A",VLOOKUP(CE3,CuWtTrans!$A$36:$J$46,5,TRUE))))</f>
        <v>#N/A</v>
      </c>
      <c r="CG3" s="238" t="e">
        <f>IF(V3="C",VLOOKUP(CE3,CuWtTrans!$A$36:$J$46,10,TRUE),IF(V3="B",VLOOKUP(CE3,CuWtTrans!$A$36:$J$46,9,TRUE),IF(V3="A",VLOOKUP(CE3,CuWtTrans!$A$36:$J$46,8,TRUE))))</f>
        <v>#N/A</v>
      </c>
      <c r="CH3" s="233" t="e">
        <f t="shared" ref="CH3:CH4" si="19">IF(E3="Metric",CF3,CG3)</f>
        <v>#N/A</v>
      </c>
      <c r="CI3" s="233" t="e">
        <f t="shared" ref="CI3:CI4" si="20">CH3</f>
        <v>#N/A</v>
      </c>
      <c r="CJ3" s="239">
        <f t="shared" ref="CJ3:CJ4" si="21">Z3</f>
        <v>0</v>
      </c>
      <c r="CK3" s="239">
        <f t="shared" ref="CK3:CK4" si="22">CJ3</f>
        <v>0</v>
      </c>
      <c r="CL3" s="226">
        <f t="shared" ref="CL3:CL4" si="23">AA3</f>
        <v>0</v>
      </c>
      <c r="CM3" s="226">
        <f t="shared" ref="CM3:CM4" si="24">CL3</f>
        <v>0</v>
      </c>
      <c r="CN3" s="388">
        <f t="shared" ref="CN3:CN4" si="25">IF(Y3=0,W3,IF(Y3=X3,X3,W3))</f>
        <v>0</v>
      </c>
      <c r="CO3" s="388">
        <f t="shared" ref="CO3:CO4" si="26">IF(Y3=0,X3,IF(Y3=X3,W3,X3))</f>
        <v>0</v>
      </c>
      <c r="CP3" s="241" t="str">
        <f t="shared" ref="CP3:CP4" si="27">IF(Y3=CO3,"Vertical","Horizontal")</f>
        <v>Vertical</v>
      </c>
      <c r="CQ3" s="242" t="e">
        <f t="shared" ref="CQ3:CQ4" si="28">(K3-T3)*0.95</f>
        <v>#N/A</v>
      </c>
      <c r="CR3" s="242" t="e">
        <f t="shared" ref="CR3:CR4" si="29">T3</f>
        <v>#N/A</v>
      </c>
      <c r="CS3" s="245"/>
      <c r="CT3" s="245"/>
      <c r="CU3" s="245"/>
    </row>
    <row r="4" spans="1:99">
      <c r="A4" s="224" t="e">
        <f t="shared" si="13"/>
        <v>#N/A</v>
      </c>
      <c r="B4" s="225" t="str">
        <f t="shared" si="14"/>
        <v xml:space="preserve"> RC%</v>
      </c>
      <c r="C4" s="226" t="e">
        <f t="shared" ref="C4" si="30">IF(OR(A4=A3,A4=A5),"Dupe","--")</f>
        <v>#N/A</v>
      </c>
      <c r="D4" s="226">
        <v>0</v>
      </c>
      <c r="E4" s="226" t="s">
        <v>449</v>
      </c>
      <c r="F4" s="387"/>
      <c r="G4" s="387"/>
      <c r="H4" s="388"/>
      <c r="I4" s="249"/>
      <c r="J4" s="244"/>
      <c r="K4" s="230" t="e">
        <f>ROUND(((VLOOKUP(H4,Base!$A$5:$B$22,2,0)/2.54)+(((100*(VLOOKUP(H4,Base!$A$5:$B$22,2,0))*I4)/((100-I4)*100))/VLOOKUP(O4,Base!$E$5:$F$60,2,0)))/1000,3)</f>
        <v>#N/A</v>
      </c>
      <c r="L4" s="230" t="e">
        <f>VLOOKUP(H4,Enums!$E$28:$F$49,2,0)</f>
        <v>#N/A</v>
      </c>
      <c r="M4" s="390"/>
      <c r="N4" s="244"/>
      <c r="O4" s="244"/>
      <c r="P4" s="244"/>
      <c r="Q4" s="246"/>
      <c r="R4" s="279"/>
      <c r="S4" s="245"/>
      <c r="T4" s="230" t="e">
        <f t="shared" si="15"/>
        <v>#N/A</v>
      </c>
      <c r="U4" s="226" t="s">
        <v>207</v>
      </c>
      <c r="V4" s="226" t="s">
        <v>85</v>
      </c>
      <c r="W4" s="245"/>
      <c r="X4" s="245"/>
      <c r="Y4" s="245"/>
      <c r="Z4" s="244"/>
      <c r="AA4" s="244"/>
      <c r="AB4" s="244"/>
      <c r="AC4" s="245"/>
      <c r="AD4" s="244"/>
      <c r="AE4" s="245"/>
      <c r="AF4" s="244"/>
      <c r="AG4" s="245"/>
      <c r="AH4" s="244"/>
      <c r="AI4" s="245"/>
      <c r="AJ4" s="244"/>
      <c r="AK4" s="245"/>
      <c r="AL4" s="244"/>
      <c r="AM4" s="245"/>
      <c r="AN4" s="244"/>
      <c r="AO4" s="245"/>
      <c r="AP4" s="244"/>
      <c r="AQ4" s="245"/>
      <c r="AR4" s="244"/>
      <c r="AS4" s="245"/>
      <c r="AT4" s="244"/>
      <c r="AU4" s="245"/>
      <c r="AV4" s="244"/>
      <c r="AW4" s="245"/>
      <c r="AX4" s="244"/>
      <c r="AY4" s="245"/>
      <c r="AZ4" s="244"/>
      <c r="BA4" s="245"/>
      <c r="BB4" s="244"/>
      <c r="BC4" s="245"/>
      <c r="BD4" s="244"/>
      <c r="BE4" s="245"/>
      <c r="BF4" s="244"/>
      <c r="BG4" s="245"/>
      <c r="BH4" s="226"/>
      <c r="BI4" s="245"/>
      <c r="BJ4" s="245"/>
      <c r="BK4" s="245"/>
      <c r="BL4" s="245"/>
      <c r="BM4" s="245"/>
      <c r="BN4" s="245"/>
      <c r="BO4" s="245"/>
      <c r="BP4" s="245"/>
      <c r="BQ4" s="245"/>
      <c r="BR4" s="245"/>
      <c r="BS4" s="245"/>
      <c r="BT4" s="245"/>
      <c r="BU4" s="245"/>
      <c r="BV4" s="245"/>
      <c r="BW4" s="245"/>
      <c r="BX4" s="243"/>
      <c r="BY4" s="245">
        <v>0</v>
      </c>
      <c r="BZ4" s="245"/>
      <c r="CA4" s="226" t="b">
        <v>0</v>
      </c>
      <c r="CB4" s="386"/>
      <c r="CC4" s="235" t="e">
        <f t="shared" si="16"/>
        <v>#N/A</v>
      </c>
      <c r="CD4" s="229" t="e">
        <f t="shared" si="17"/>
        <v>#N/A</v>
      </c>
      <c r="CE4" s="237" t="e">
        <f t="shared" si="18"/>
        <v>#N/A</v>
      </c>
      <c r="CF4" s="238" t="e">
        <f>IF(V4="C",VLOOKUP(CE4,CuWtTrans!$A$36:$J$46,7,TRUE),IF(V4="B",VLOOKUP(CE4,CuWtTrans!$A$36:$J$46,6,TRUE),IF(V4="A",VLOOKUP(CE4,CuWtTrans!$A$36:$J$46,5,TRUE))))</f>
        <v>#N/A</v>
      </c>
      <c r="CG4" s="238" t="e">
        <f>IF(V4="C",VLOOKUP(CE4,CuWtTrans!$A$36:$J$46,10,TRUE),IF(V4="B",VLOOKUP(CE4,CuWtTrans!$A$36:$J$46,9,TRUE),IF(V4="A",VLOOKUP(CE4,CuWtTrans!$A$36:$J$46,8,TRUE))))</f>
        <v>#N/A</v>
      </c>
      <c r="CH4" s="233" t="e">
        <f t="shared" si="19"/>
        <v>#N/A</v>
      </c>
      <c r="CI4" s="233" t="e">
        <f t="shared" si="20"/>
        <v>#N/A</v>
      </c>
      <c r="CJ4" s="239">
        <f t="shared" si="21"/>
        <v>0</v>
      </c>
      <c r="CK4" s="239">
        <f t="shared" si="22"/>
        <v>0</v>
      </c>
      <c r="CL4" s="226">
        <f t="shared" si="23"/>
        <v>0</v>
      </c>
      <c r="CM4" s="226">
        <f t="shared" si="24"/>
        <v>0</v>
      </c>
      <c r="CN4" s="388">
        <f t="shared" si="25"/>
        <v>0</v>
      </c>
      <c r="CO4" s="388">
        <f t="shared" si="26"/>
        <v>0</v>
      </c>
      <c r="CP4" s="241" t="str">
        <f t="shared" si="27"/>
        <v>Vertical</v>
      </c>
      <c r="CQ4" s="242" t="e">
        <f t="shared" si="28"/>
        <v>#N/A</v>
      </c>
      <c r="CR4" s="242" t="e">
        <f t="shared" si="29"/>
        <v>#N/A</v>
      </c>
      <c r="CS4" s="245"/>
      <c r="CT4" s="245"/>
      <c r="CU4" s="245"/>
    </row>
    <row r="5" spans="1:99">
      <c r="A5" s="224" t="e">
        <f t="shared" ref="A5:A6" si="31">"PP "&amp;F5&amp;" "&amp;O5&amp;" "&amp;FIXED(L5,3)&amp;"mm "&amp;B5</f>
        <v>#N/A</v>
      </c>
      <c r="B5" s="225" t="str">
        <f t="shared" ref="B5:B6" si="32">H5 &amp; " RC" &amp; I5 &amp; "%"</f>
        <v xml:space="preserve"> RC%</v>
      </c>
      <c r="C5" s="226" t="e">
        <f t="shared" ref="C5:C6" si="33">IF(OR(A5=A4,A5=A6),"Dupe","--")</f>
        <v>#N/A</v>
      </c>
      <c r="D5" s="226">
        <v>0</v>
      </c>
      <c r="E5" s="226" t="s">
        <v>449</v>
      </c>
      <c r="F5" s="387"/>
      <c r="G5" s="387"/>
      <c r="H5" s="388"/>
      <c r="I5" s="249"/>
      <c r="J5" s="244"/>
      <c r="K5" s="230" t="e">
        <f>ROUND(((VLOOKUP(H5,Base!$A$5:$B$22,2,0)/2.54)+(((100*(VLOOKUP(H5,Base!$A$5:$B$22,2,0))*I5)/((100-I5)*100))/VLOOKUP(O5,Base!$E$5:$F$60,2,0)))/1000,3)</f>
        <v>#N/A</v>
      </c>
      <c r="L5" s="230" t="e">
        <f>VLOOKUP(H5,Enums!$E$28:$F$49,2,0)</f>
        <v>#N/A</v>
      </c>
      <c r="M5" s="390"/>
      <c r="N5" s="244"/>
      <c r="O5" s="244"/>
      <c r="P5" s="244"/>
      <c r="Q5" s="246"/>
      <c r="R5" s="279"/>
      <c r="S5" s="245"/>
      <c r="T5" s="230" t="e">
        <f t="shared" ref="T5:T6" si="34">K5*(100-I5)/100</f>
        <v>#N/A</v>
      </c>
      <c r="U5" s="226" t="s">
        <v>207</v>
      </c>
      <c r="V5" s="226" t="s">
        <v>85</v>
      </c>
      <c r="W5" s="245"/>
      <c r="X5" s="245"/>
      <c r="Y5" s="245"/>
      <c r="Z5" s="244"/>
      <c r="AA5" s="244"/>
      <c r="AB5" s="244"/>
      <c r="AC5" s="245"/>
      <c r="AD5" s="244"/>
      <c r="AE5" s="245"/>
      <c r="AF5" s="244"/>
      <c r="AG5" s="245"/>
      <c r="AH5" s="244"/>
      <c r="AI5" s="245"/>
      <c r="AJ5" s="244"/>
      <c r="AK5" s="245"/>
      <c r="AL5" s="244"/>
      <c r="AM5" s="245"/>
      <c r="AN5" s="244"/>
      <c r="AO5" s="245"/>
      <c r="AP5" s="244"/>
      <c r="AQ5" s="245"/>
      <c r="AR5" s="244"/>
      <c r="AS5" s="245"/>
      <c r="AT5" s="244"/>
      <c r="AU5" s="245"/>
      <c r="AV5" s="244"/>
      <c r="AW5" s="245"/>
      <c r="AX5" s="244"/>
      <c r="AY5" s="245"/>
      <c r="AZ5" s="244"/>
      <c r="BA5" s="245"/>
      <c r="BB5" s="244"/>
      <c r="BC5" s="245"/>
      <c r="BD5" s="244"/>
      <c r="BE5" s="245"/>
      <c r="BF5" s="244"/>
      <c r="BG5" s="245"/>
      <c r="BH5" s="226"/>
      <c r="BI5" s="245"/>
      <c r="BJ5" s="245"/>
      <c r="BK5" s="245"/>
      <c r="BL5" s="245"/>
      <c r="BM5" s="245"/>
      <c r="BN5" s="245"/>
      <c r="BO5" s="245"/>
      <c r="BP5" s="245"/>
      <c r="BQ5" s="245"/>
      <c r="BR5" s="245"/>
      <c r="BS5" s="245"/>
      <c r="BT5" s="245"/>
      <c r="BU5" s="245"/>
      <c r="BV5" s="245"/>
      <c r="BW5" s="245"/>
      <c r="BX5" s="243"/>
      <c r="BY5" s="245">
        <v>0</v>
      </c>
      <c r="BZ5" s="245"/>
      <c r="CA5" s="226" t="b">
        <v>0</v>
      </c>
      <c r="CB5" s="386"/>
      <c r="CC5" s="235" t="e">
        <f t="shared" ref="CC5:CC6" si="35">K5</f>
        <v>#N/A</v>
      </c>
      <c r="CD5" s="229" t="e">
        <f t="shared" ref="CD5:CD6" si="36">IF(E5="Metric",IF(K5&lt;7,K5*1000,K5),IF(K5&lt;1,K5*25.4*1000,K5*25.4))</f>
        <v>#N/A</v>
      </c>
      <c r="CE5" s="237" t="e">
        <f t="shared" ref="CE5:CE6" si="37">IF(CD5&lt;25,0,IF(CD5&lt;120,25,IF(CD5&lt;165,120,IF(CD5&lt;300,165,IF(CD5&lt;500,300,IF(CD5&lt;786,500,IF(CD5&lt;1040,786,IF(CD5&lt;1675,1040,0))))))))</f>
        <v>#N/A</v>
      </c>
      <c r="CF5" s="238" t="e">
        <f>IF(V5="C",VLOOKUP(CE5,CuWtTrans!$A$36:$J$46,7,TRUE),IF(V5="B",VLOOKUP(CE5,CuWtTrans!$A$36:$J$46,6,TRUE),IF(V5="A",VLOOKUP(CE5,CuWtTrans!$A$36:$J$46,5,TRUE))))</f>
        <v>#N/A</v>
      </c>
      <c r="CG5" s="238" t="e">
        <f>IF(V5="C",VLOOKUP(CE5,CuWtTrans!$A$36:$J$46,10,TRUE),IF(V5="B",VLOOKUP(CE5,CuWtTrans!$A$36:$J$46,9,TRUE),IF(V5="A",VLOOKUP(CE5,CuWtTrans!$A$36:$J$46,8,TRUE))))</f>
        <v>#N/A</v>
      </c>
      <c r="CH5" s="233" t="e">
        <f t="shared" ref="CH5:CH6" si="38">IF(E5="Metric",CF5,CG5)</f>
        <v>#N/A</v>
      </c>
      <c r="CI5" s="233" t="e">
        <f t="shared" ref="CI5:CI6" si="39">CH5</f>
        <v>#N/A</v>
      </c>
      <c r="CJ5" s="239">
        <f t="shared" ref="CJ5:CJ6" si="40">Z5</f>
        <v>0</v>
      </c>
      <c r="CK5" s="239">
        <f t="shared" ref="CK5:CK6" si="41">CJ5</f>
        <v>0</v>
      </c>
      <c r="CL5" s="226">
        <f t="shared" ref="CL5:CL6" si="42">AA5</f>
        <v>0</v>
      </c>
      <c r="CM5" s="226">
        <f t="shared" ref="CM5:CM6" si="43">CL5</f>
        <v>0</v>
      </c>
      <c r="CN5" s="388">
        <f t="shared" ref="CN5:CN6" si="44">IF(Y5=0,W5,IF(Y5=X5,X5,W5))</f>
        <v>0</v>
      </c>
      <c r="CO5" s="388">
        <f t="shared" ref="CO5:CO6" si="45">IF(Y5=0,X5,IF(Y5=X5,W5,X5))</f>
        <v>0</v>
      </c>
      <c r="CP5" s="241" t="str">
        <f t="shared" ref="CP5:CP6" si="46">IF(Y5=CO5,"Vertical","Horizontal")</f>
        <v>Vertical</v>
      </c>
      <c r="CQ5" s="242" t="e">
        <f t="shared" ref="CQ5:CQ6" si="47">(K5-T5)*0.95</f>
        <v>#N/A</v>
      </c>
      <c r="CR5" s="242" t="e">
        <f t="shared" ref="CR5:CR6" si="48">T5</f>
        <v>#N/A</v>
      </c>
      <c r="CS5" s="245"/>
      <c r="CT5" s="245"/>
      <c r="CU5" s="245"/>
    </row>
    <row r="6" spans="1:99">
      <c r="A6" s="224" t="e">
        <f t="shared" si="31"/>
        <v>#N/A</v>
      </c>
      <c r="B6" s="225" t="str">
        <f t="shared" si="32"/>
        <v xml:space="preserve"> RC%</v>
      </c>
      <c r="C6" s="226" t="e">
        <f t="shared" si="33"/>
        <v>#N/A</v>
      </c>
      <c r="D6" s="226">
        <v>0</v>
      </c>
      <c r="E6" s="226" t="s">
        <v>449</v>
      </c>
      <c r="F6" s="387"/>
      <c r="G6" s="387"/>
      <c r="H6" s="388"/>
      <c r="I6" s="249"/>
      <c r="J6" s="244"/>
      <c r="K6" s="230" t="e">
        <f>ROUND(((VLOOKUP(H6,Base!$A$5:$B$22,2,0)/2.54)+(((100*(VLOOKUP(H6,Base!$A$5:$B$22,2,0))*I6)/((100-I6)*100))/VLOOKUP(O6,Base!$E$5:$F$60,2,0)))/1000,3)</f>
        <v>#N/A</v>
      </c>
      <c r="L6" s="230" t="e">
        <f>VLOOKUP(H6,Enums!$E$28:$F$49,2,0)</f>
        <v>#N/A</v>
      </c>
      <c r="M6" s="390"/>
      <c r="N6" s="244"/>
      <c r="O6" s="244"/>
      <c r="P6" s="244"/>
      <c r="Q6" s="246"/>
      <c r="R6" s="279"/>
      <c r="S6" s="245"/>
      <c r="T6" s="230" t="e">
        <f t="shared" si="34"/>
        <v>#N/A</v>
      </c>
      <c r="U6" s="226" t="s">
        <v>207</v>
      </c>
      <c r="V6" s="226" t="s">
        <v>85</v>
      </c>
      <c r="W6" s="245"/>
      <c r="X6" s="245"/>
      <c r="Y6" s="245"/>
      <c r="Z6" s="244"/>
      <c r="AA6" s="244"/>
      <c r="AB6" s="244"/>
      <c r="AC6" s="245"/>
      <c r="AD6" s="244"/>
      <c r="AE6" s="245"/>
      <c r="AF6" s="244"/>
      <c r="AG6" s="245"/>
      <c r="AH6" s="244"/>
      <c r="AI6" s="245"/>
      <c r="AJ6" s="244"/>
      <c r="AK6" s="245"/>
      <c r="AL6" s="244"/>
      <c r="AM6" s="245"/>
      <c r="AN6" s="244"/>
      <c r="AO6" s="245"/>
      <c r="AP6" s="244"/>
      <c r="AQ6" s="245"/>
      <c r="AR6" s="244"/>
      <c r="AS6" s="245"/>
      <c r="AT6" s="244"/>
      <c r="AU6" s="245"/>
      <c r="AV6" s="244"/>
      <c r="AW6" s="245"/>
      <c r="AX6" s="244"/>
      <c r="AY6" s="245"/>
      <c r="AZ6" s="244"/>
      <c r="BA6" s="245"/>
      <c r="BB6" s="244"/>
      <c r="BC6" s="245"/>
      <c r="BD6" s="244"/>
      <c r="BE6" s="245"/>
      <c r="BF6" s="244"/>
      <c r="BG6" s="245"/>
      <c r="BH6" s="226"/>
      <c r="BI6" s="245"/>
      <c r="BJ6" s="245"/>
      <c r="BK6" s="245"/>
      <c r="BL6" s="245"/>
      <c r="BM6" s="245"/>
      <c r="BN6" s="245"/>
      <c r="BO6" s="245"/>
      <c r="BP6" s="245"/>
      <c r="BQ6" s="245"/>
      <c r="BR6" s="245"/>
      <c r="BS6" s="245"/>
      <c r="BT6" s="245"/>
      <c r="BU6" s="245"/>
      <c r="BV6" s="245"/>
      <c r="BW6" s="245"/>
      <c r="BX6" s="243"/>
      <c r="BY6" s="245">
        <v>0</v>
      </c>
      <c r="BZ6" s="245"/>
      <c r="CA6" s="226" t="b">
        <v>0</v>
      </c>
      <c r="CB6" s="386"/>
      <c r="CC6" s="235" t="e">
        <f t="shared" si="35"/>
        <v>#N/A</v>
      </c>
      <c r="CD6" s="229" t="e">
        <f t="shared" si="36"/>
        <v>#N/A</v>
      </c>
      <c r="CE6" s="237" t="e">
        <f t="shared" si="37"/>
        <v>#N/A</v>
      </c>
      <c r="CF6" s="238" t="e">
        <f>IF(V6="C",VLOOKUP(CE6,CuWtTrans!$A$36:$J$46,7,TRUE),IF(V6="B",VLOOKUP(CE6,CuWtTrans!$A$36:$J$46,6,TRUE),IF(V6="A",VLOOKUP(CE6,CuWtTrans!$A$36:$J$46,5,TRUE))))</f>
        <v>#N/A</v>
      </c>
      <c r="CG6" s="238" t="e">
        <f>IF(V6="C",VLOOKUP(CE6,CuWtTrans!$A$36:$J$46,10,TRUE),IF(V6="B",VLOOKUP(CE6,CuWtTrans!$A$36:$J$46,9,TRUE),IF(V6="A",VLOOKUP(CE6,CuWtTrans!$A$36:$J$46,8,TRUE))))</f>
        <v>#N/A</v>
      </c>
      <c r="CH6" s="233" t="e">
        <f t="shared" si="38"/>
        <v>#N/A</v>
      </c>
      <c r="CI6" s="233" t="e">
        <f t="shared" si="39"/>
        <v>#N/A</v>
      </c>
      <c r="CJ6" s="239">
        <f t="shared" si="40"/>
        <v>0</v>
      </c>
      <c r="CK6" s="239">
        <f t="shared" si="41"/>
        <v>0</v>
      </c>
      <c r="CL6" s="226">
        <f t="shared" si="42"/>
        <v>0</v>
      </c>
      <c r="CM6" s="226">
        <f t="shared" si="43"/>
        <v>0</v>
      </c>
      <c r="CN6" s="388">
        <f t="shared" si="44"/>
        <v>0</v>
      </c>
      <c r="CO6" s="388">
        <f t="shared" si="45"/>
        <v>0</v>
      </c>
      <c r="CP6" s="241" t="str">
        <f t="shared" si="46"/>
        <v>Vertical</v>
      </c>
      <c r="CQ6" s="242" t="e">
        <f t="shared" si="47"/>
        <v>#N/A</v>
      </c>
      <c r="CR6" s="242" t="e">
        <f t="shared" si="48"/>
        <v>#N/A</v>
      </c>
      <c r="CS6" s="245"/>
      <c r="CT6" s="245"/>
      <c r="CU6" s="245"/>
    </row>
  </sheetData>
  <autoFilter ref="A1:CU2"/>
  <sortState ref="A940:CO1036">
    <sortCondition ref="H1"/>
  </sortState>
  <conditionalFormatting sqref="F1 T1:U1 L1:P1 AA1:BK1">
    <cfRule type="cellIs" dxfId="192" priority="64" stopIfTrue="1" operator="equal">
      <formula>"TBA"</formula>
    </cfRule>
    <cfRule type="cellIs" dxfId="191" priority="65" stopIfTrue="1" operator="equal">
      <formula>"Unknown"</formula>
    </cfRule>
  </conditionalFormatting>
  <conditionalFormatting sqref="G1">
    <cfRule type="cellIs" dxfId="190" priority="62" stopIfTrue="1" operator="equal">
      <formula>"TBA"</formula>
    </cfRule>
    <cfRule type="cellIs" dxfId="189" priority="63" stopIfTrue="1" operator="equal">
      <formula>"Unknown"</formula>
    </cfRule>
  </conditionalFormatting>
  <conditionalFormatting sqref="Z1">
    <cfRule type="cellIs" dxfId="188" priority="52" stopIfTrue="1" operator="equal">
      <formula>"TBA"</formula>
    </cfRule>
    <cfRule type="cellIs" dxfId="187" priority="53" stopIfTrue="1" operator="equal">
      <formula>"Unknown"</formula>
    </cfRule>
  </conditionalFormatting>
  <conditionalFormatting sqref="BU1:BW1">
    <cfRule type="cellIs" dxfId="186" priority="56" stopIfTrue="1" operator="equal">
      <formula>"TBA"</formula>
    </cfRule>
    <cfRule type="cellIs" dxfId="185" priority="57" stopIfTrue="1" operator="equal">
      <formula>"Unknown"</formula>
    </cfRule>
  </conditionalFormatting>
  <conditionalFormatting sqref="H1:I1 W1:X1 R1:S1 K1">
    <cfRule type="cellIs" dxfId="184" priority="50" stopIfTrue="1" operator="equal">
      <formula>"TBA"</formula>
    </cfRule>
    <cfRule type="cellIs" dxfId="183" priority="51" stopIfTrue="1" operator="equal">
      <formula>"Unknown"</formula>
    </cfRule>
  </conditionalFormatting>
  <conditionalFormatting sqref="Y1">
    <cfRule type="cellIs" dxfId="182" priority="48" stopIfTrue="1" operator="equal">
      <formula>"TBA"</formula>
    </cfRule>
    <cfRule type="cellIs" dxfId="181" priority="49" stopIfTrue="1" operator="equal">
      <formula>"Unknown"</formula>
    </cfRule>
  </conditionalFormatting>
  <conditionalFormatting sqref="BY1:BZ1">
    <cfRule type="cellIs" dxfId="180" priority="44" stopIfTrue="1" operator="equal">
      <formula>"TBA"</formula>
    </cfRule>
    <cfRule type="cellIs" dxfId="179" priority="45" stopIfTrue="1" operator="equal">
      <formula>"Unknown"</formula>
    </cfRule>
  </conditionalFormatting>
  <conditionalFormatting sqref="CA1">
    <cfRule type="cellIs" dxfId="178" priority="42" stopIfTrue="1" operator="equal">
      <formula>"TBA"</formula>
    </cfRule>
    <cfRule type="cellIs" dxfId="177" priority="43" stopIfTrue="1" operator="equal">
      <formula>"Unknown"</formula>
    </cfRule>
  </conditionalFormatting>
  <conditionalFormatting sqref="BL1">
    <cfRule type="cellIs" dxfId="176" priority="40" stopIfTrue="1" operator="equal">
      <formula>"TBA"</formula>
    </cfRule>
    <cfRule type="cellIs" dxfId="175" priority="41" stopIfTrue="1" operator="equal">
      <formula>"Unknown"</formula>
    </cfRule>
  </conditionalFormatting>
  <conditionalFormatting sqref="BQ1:BT1">
    <cfRule type="cellIs" dxfId="174" priority="38" stopIfTrue="1" operator="equal">
      <formula>"TBA"</formula>
    </cfRule>
    <cfRule type="cellIs" dxfId="173" priority="39" stopIfTrue="1" operator="equal">
      <formula>"Unknown"</formula>
    </cfRule>
  </conditionalFormatting>
  <conditionalFormatting sqref="BM1:BP1">
    <cfRule type="cellIs" dxfId="172" priority="36" stopIfTrue="1" operator="equal">
      <formula>"TBA"</formula>
    </cfRule>
    <cfRule type="cellIs" dxfId="171" priority="37" stopIfTrue="1" operator="equal">
      <formula>"Unknown"</formula>
    </cfRule>
  </conditionalFormatting>
  <conditionalFormatting sqref="A1">
    <cfRule type="cellIs" dxfId="170" priority="34" stopIfTrue="1" operator="equal">
      <formula>"TBA"</formula>
    </cfRule>
    <cfRule type="cellIs" dxfId="169" priority="35" stopIfTrue="1" operator="equal">
      <formula>"Unknown"</formula>
    </cfRule>
  </conditionalFormatting>
  <conditionalFormatting sqref="B1">
    <cfRule type="cellIs" dxfId="168" priority="32" stopIfTrue="1" operator="equal">
      <formula>"TBA"</formula>
    </cfRule>
    <cfRule type="cellIs" dxfId="167" priority="33" stopIfTrue="1" operator="equal">
      <formula>"Unknown"</formula>
    </cfRule>
  </conditionalFormatting>
  <conditionalFormatting sqref="CS1:CU1">
    <cfRule type="cellIs" dxfId="166" priority="30" stopIfTrue="1" operator="equal">
      <formula>"TBA"</formula>
    </cfRule>
    <cfRule type="cellIs" dxfId="165" priority="31" stopIfTrue="1" operator="equal">
      <formula>"Unknown"</formula>
    </cfRule>
  </conditionalFormatting>
  <conditionalFormatting sqref="V1">
    <cfRule type="cellIs" dxfId="164" priority="28" stopIfTrue="1" operator="equal">
      <formula>"TBA"</formula>
    </cfRule>
    <cfRule type="cellIs" dxfId="163" priority="29" stopIfTrue="1" operator="equal">
      <formula>"Unknown"</formula>
    </cfRule>
  </conditionalFormatting>
  <conditionalFormatting sqref="BX1">
    <cfRule type="cellIs" dxfId="162" priority="26" stopIfTrue="1" operator="equal">
      <formula>"TBA"</formula>
    </cfRule>
    <cfRule type="cellIs" dxfId="161" priority="27" stopIfTrue="1" operator="equal">
      <formula>"Unknown"</formula>
    </cfRule>
  </conditionalFormatting>
  <conditionalFormatting sqref="Q1">
    <cfRule type="cellIs" dxfId="160" priority="22" stopIfTrue="1" operator="equal">
      <formula>"TBA"</formula>
    </cfRule>
    <cfRule type="cellIs" dxfId="159" priority="23" stopIfTrue="1" operator="equal">
      <formula>"Unknown"</formula>
    </cfRule>
  </conditionalFormatting>
  <conditionalFormatting sqref="A7:A1048576 A1:A2">
    <cfRule type="duplicateValues" dxfId="158" priority="21"/>
  </conditionalFormatting>
  <conditionalFormatting sqref="J1">
    <cfRule type="cellIs" dxfId="157" priority="19" stopIfTrue="1" operator="equal">
      <formula>"TBA"</formula>
    </cfRule>
    <cfRule type="cellIs" dxfId="156" priority="20" stopIfTrue="1" operator="equal">
      <formula>"Unknown"</formula>
    </cfRule>
  </conditionalFormatting>
  <conditionalFormatting sqref="A1:A1048576">
    <cfRule type="duplicateValues" dxfId="155" priority="1"/>
  </conditionalFormatting>
  <conditionalFormatting sqref="A3:A6">
    <cfRule type="duplicateValues" dxfId="154" priority="560"/>
  </conditionalFormatting>
  <dataValidations count="4">
    <dataValidation type="list" allowBlank="1" showInputMessage="1" showErrorMessage="1" sqref="BH2:BH6 CA2:CA6">
      <formula1>"TRUE, FALSE"</formula1>
    </dataValidation>
    <dataValidation type="list" allowBlank="1" showInputMessage="1" showErrorMessage="1" sqref="LS2 VO2 AFK2 APG2 AZC2 BIY2 BSU2 CCQ2 CMM2 CWI2 DGE2 DQA2 DZW2 EJS2 ETO2 FDK2 FNG2 FXC2 GGY2 GQU2 HAQ2 HKM2 HUI2 IEE2 IOA2 IXW2 JHS2 JRO2 KBK2 KLG2 KVC2 LEY2 LOU2 LYQ2 MIM2 MSI2 NCE2 NMA2 NVW2 OFS2 OPO2 OZK2 PJG2 PTC2 QCY2 QMU2 QWQ2 RGM2 RQI2 SAE2 SKA2 STW2 TDS2 TNO2 TXK2 UHG2 URC2 VAY2 VKU2 VUQ2 WEM2 WOI2 WYE2 CP2:CP6">
      <formula1>"Ignore,Horizontal,Vertical"</formula1>
    </dataValidation>
    <dataValidation type="list" allowBlank="1" showInputMessage="1" showErrorMessage="1" sqref="E2:E6">
      <formula1>"Imperial,Metric"</formula1>
    </dataValidation>
    <dataValidation type="list" allowBlank="1" showInputMessage="1" showErrorMessage="1" sqref="V2:V6">
      <formula1>"A,B,C"</formula1>
    </dataValidation>
  </dataValidations>
  <pageMargins left="3.937007874015748E-2" right="3.937007874015748E-2" top="3.937007874015748E-2" bottom="3.937007874015748E-2" header="3.937007874015748E-2" footer="3.937007874015748E-2"/>
  <pageSetup paperSize="8" scale="10" orientation="landscape" r:id="rId1"/>
  <headerFooter alignWithMargins="0"/>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Enums!$L$4:$L$135</xm:f>
          </x14:formula1>
          <xm:sqref>G2</xm:sqref>
        </x14:dataValidation>
        <x14:dataValidation type="list" allowBlank="1" showInputMessage="1" showErrorMessage="1">
          <x14:formula1>
            <xm:f>Enums!$N$4:$N$101</xm:f>
          </x14:formula1>
          <xm:sqref>F2</xm:sqref>
        </x14:dataValidation>
        <x14:dataValidation type="list" allowBlank="1" showInputMessage="1" showErrorMessage="1">
          <x14:formula1>
            <xm:f>Enums!$N$4:$N$17</xm:f>
          </x14:formula1>
          <xm:sqref>F3:F6</xm:sqref>
        </x14:dataValidation>
        <x14:dataValidation type="list" allowBlank="1" showInputMessage="1" showErrorMessage="1">
          <x14:formula1>
            <xm:f>Enums!$L$4:$L$230</xm:f>
          </x14:formula1>
          <xm:sqref>G3:G6</xm:sqref>
        </x14:dataValidation>
        <x14:dataValidation type="list" allowBlank="1" showInputMessage="1" showErrorMessage="1">
          <x14:formula1>
            <xm:f>Enums!$AB$4:$AB$15</xm:f>
          </x14:formula1>
          <xm:sqref>CB1:CB6</xm:sqref>
        </x14:dataValidation>
        <x14:dataValidation type="list" allowBlank="1" showInputMessage="1" showErrorMessage="1">
          <x14:formula1>
            <xm:f>Enums!$P$4:$P$7</xm:f>
          </x14:formula1>
          <xm:sqref>U2:U6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outlinePr summaryBelow="0" summaryRight="0"/>
  </sheetPr>
  <dimension ref="A1:AC29"/>
  <sheetViews>
    <sheetView workbookViewId="0">
      <pane xSplit="1" ySplit="1" topLeftCell="B2" activePane="bottomRight" state="frozen"/>
      <selection activeCell="J34" sqref="J34"/>
      <selection pane="topRight" activeCell="J34" sqref="J34"/>
      <selection pane="bottomLeft" activeCell="J34" sqref="J34"/>
      <selection pane="bottomRight" activeCell="J34" sqref="J34"/>
    </sheetView>
  </sheetViews>
  <sheetFormatPr defaultColWidth="11.42578125" defaultRowHeight="13.5"/>
  <cols>
    <col min="1" max="1" width="27.5703125" style="85" customWidth="1"/>
    <col min="2" max="2" width="23.7109375" style="85" customWidth="1"/>
    <col min="3" max="3" width="6.7109375" style="85" bestFit="1" customWidth="1"/>
    <col min="4" max="4" width="7.85546875" style="85" bestFit="1" customWidth="1"/>
    <col min="5" max="5" width="10.140625" style="85" bestFit="1" customWidth="1"/>
    <col min="6" max="6" width="9" style="85" bestFit="1" customWidth="1"/>
    <col min="7" max="7" width="7.85546875" style="85" bestFit="1" customWidth="1"/>
    <col min="8" max="8" width="13.140625" style="85" bestFit="1" customWidth="1"/>
    <col min="9" max="10" width="14.85546875" style="85" bestFit="1" customWidth="1"/>
    <col min="11" max="14" width="14.85546875" style="85" customWidth="1"/>
    <col min="15" max="15" width="13.140625" style="85" bestFit="1" customWidth="1"/>
    <col min="16" max="16" width="20.140625" style="85" bestFit="1" customWidth="1"/>
    <col min="17" max="17" width="16" style="85" hidden="1" customWidth="1"/>
    <col min="18" max="18" width="19.5703125" style="85" hidden="1" customWidth="1"/>
    <col min="19" max="19" width="17" style="85" hidden="1" customWidth="1"/>
    <col min="20" max="20" width="10.140625" style="85" bestFit="1" customWidth="1"/>
    <col min="21" max="21" width="11.28515625" style="85" hidden="1" customWidth="1"/>
    <col min="22" max="22" width="11.28515625" style="85" bestFit="1" customWidth="1"/>
    <col min="23" max="24" width="12.42578125" style="85" bestFit="1" customWidth="1"/>
    <col min="25" max="25" width="18.42578125" style="83" bestFit="1" customWidth="1"/>
    <col min="26" max="26" width="18.42578125" style="85" bestFit="1" customWidth="1"/>
    <col min="27" max="27" width="10.140625" style="85" bestFit="1" customWidth="1"/>
    <col min="28" max="28" width="14.85546875" style="85" bestFit="1" customWidth="1"/>
    <col min="29" max="29" width="23.140625" style="85" bestFit="1" customWidth="1"/>
    <col min="30" max="16384" width="11.42578125" style="85"/>
  </cols>
  <sheetData>
    <row r="1" spans="1:29" s="82" customFormat="1" ht="27">
      <c r="A1" s="162" t="s">
        <v>50</v>
      </c>
      <c r="B1" s="162" t="s">
        <v>21</v>
      </c>
      <c r="C1" s="141" t="s">
        <v>264</v>
      </c>
      <c r="D1" s="152" t="s">
        <v>412</v>
      </c>
      <c r="E1" s="152" t="s">
        <v>356</v>
      </c>
      <c r="F1" s="151" t="s">
        <v>30</v>
      </c>
      <c r="G1" s="151" t="s">
        <v>20</v>
      </c>
      <c r="H1" s="151" t="s">
        <v>16</v>
      </c>
      <c r="I1" s="151" t="s">
        <v>26</v>
      </c>
      <c r="J1" s="151" t="s">
        <v>27</v>
      </c>
      <c r="K1" s="282" t="s">
        <v>1481</v>
      </c>
      <c r="L1" s="282" t="s">
        <v>1482</v>
      </c>
      <c r="M1" s="282" t="s">
        <v>1483</v>
      </c>
      <c r="N1" s="282" t="s">
        <v>1484</v>
      </c>
      <c r="O1" s="152" t="s">
        <v>44</v>
      </c>
      <c r="P1" s="152" t="s">
        <v>45</v>
      </c>
      <c r="Q1" s="152" t="s">
        <v>456</v>
      </c>
      <c r="R1" s="152" t="s">
        <v>457</v>
      </c>
      <c r="S1" s="152" t="s">
        <v>458</v>
      </c>
      <c r="T1" s="155" t="s">
        <v>25</v>
      </c>
      <c r="U1" s="155" t="s">
        <v>372</v>
      </c>
      <c r="V1" s="147" t="s">
        <v>17</v>
      </c>
      <c r="W1" s="147" t="s">
        <v>18</v>
      </c>
      <c r="X1" s="147" t="s">
        <v>19</v>
      </c>
      <c r="Y1" s="155" t="s">
        <v>265</v>
      </c>
      <c r="Z1" s="155" t="s">
        <v>266</v>
      </c>
      <c r="AA1" s="155" t="s">
        <v>22</v>
      </c>
      <c r="AB1" s="155" t="s">
        <v>23</v>
      </c>
      <c r="AC1" s="155" t="s">
        <v>24</v>
      </c>
    </row>
    <row r="2" spans="1:29" s="61" customFormat="1">
      <c r="A2" s="83" t="str">
        <f>B2</f>
        <v>Foil 0.33oz</v>
      </c>
      <c r="B2" s="84" t="str">
        <f>"Foil "&amp; FIXED(H2,2) &amp;"oz"</f>
        <v>Foil 0.33oz</v>
      </c>
      <c r="C2" s="53" t="str">
        <f>IF(OR(A2=A10,A2=A3),"DUPE","--")</f>
        <v>--</v>
      </c>
      <c r="D2" s="53">
        <v>0</v>
      </c>
      <c r="E2" s="53" t="s">
        <v>449</v>
      </c>
      <c r="F2" s="142" t="s">
        <v>206</v>
      </c>
      <c r="G2" s="61" t="s">
        <v>175</v>
      </c>
      <c r="H2" s="284">
        <v>0.33300000000000002</v>
      </c>
      <c r="I2" s="144">
        <v>0</v>
      </c>
      <c r="J2" s="144">
        <v>0</v>
      </c>
      <c r="K2" s="144">
        <v>0</v>
      </c>
      <c r="L2" s="144">
        <v>0</v>
      </c>
      <c r="M2" s="144"/>
      <c r="N2" s="144"/>
      <c r="O2" s="283">
        <v>1</v>
      </c>
      <c r="P2" s="283">
        <v>1</v>
      </c>
      <c r="Q2" s="53" t="s">
        <v>292</v>
      </c>
      <c r="R2" s="53" t="s">
        <v>208</v>
      </c>
      <c r="S2" s="53" t="str">
        <f t="shared" ref="S2:S6" si="0">IF(Q2="ED-HTE","H",IF(Q2="ED-RTF","R",IF(Q2="ED-DST","P",IF(Q2="RD","B",IF(Q2="ED","C","&lt;Not Defined&gt;")))))</f>
        <v>C</v>
      </c>
      <c r="T2" s="61" t="b">
        <v>0</v>
      </c>
      <c r="U2" s="143"/>
      <c r="V2" s="128">
        <f>IF(E2="Imperial",IF(H2&gt;0,VLOOKUP(H2,CuWtTrans!$A$2:$G$19,6,TRUE)),IF(H2&gt;0,VLOOKUP(H2,CuWtTrans!$A$2:$G$19,5,TRUE)))</f>
        <v>12</v>
      </c>
      <c r="W2" s="128">
        <f t="shared" ref="W2:X6" si="1">$V2*0.05</f>
        <v>0.60000000000000009</v>
      </c>
      <c r="X2" s="128">
        <f t="shared" si="1"/>
        <v>0.60000000000000009</v>
      </c>
      <c r="Y2" s="128">
        <v>0</v>
      </c>
      <c r="Z2" s="128">
        <v>0</v>
      </c>
      <c r="AA2" s="142"/>
      <c r="AC2" s="142"/>
    </row>
    <row r="3" spans="1:29" s="61" customFormat="1">
      <c r="A3" s="83" t="str">
        <f t="shared" ref="A3:A29" si="2">B3</f>
        <v>Foil 0.50oz</v>
      </c>
      <c r="B3" s="84" t="str">
        <f t="shared" ref="B3:B29" si="3">"Foil "&amp; FIXED(H3,2) &amp;"oz"</f>
        <v>Foil 0.50oz</v>
      </c>
      <c r="C3" s="53" t="str">
        <f t="shared" ref="C3" si="4">IF(OR(A3=A2,A3=A4),"DUPE","--")</f>
        <v>--</v>
      </c>
      <c r="D3" s="53">
        <v>0</v>
      </c>
      <c r="E3" s="53" t="s">
        <v>449</v>
      </c>
      <c r="F3" s="142" t="s">
        <v>206</v>
      </c>
      <c r="G3" s="61" t="s">
        <v>175</v>
      </c>
      <c r="H3" s="284">
        <v>0.5</v>
      </c>
      <c r="I3" s="144">
        <v>0</v>
      </c>
      <c r="J3" s="144">
        <v>0</v>
      </c>
      <c r="K3" s="144">
        <v>0</v>
      </c>
      <c r="L3" s="144">
        <v>0</v>
      </c>
      <c r="M3" s="144"/>
      <c r="N3" s="144"/>
      <c r="O3" s="283">
        <v>1</v>
      </c>
      <c r="P3" s="283">
        <v>1</v>
      </c>
      <c r="Q3" s="53" t="s">
        <v>292</v>
      </c>
      <c r="R3" s="53" t="s">
        <v>208</v>
      </c>
      <c r="S3" s="53" t="str">
        <f t="shared" si="0"/>
        <v>C</v>
      </c>
      <c r="T3" s="61" t="b">
        <v>0</v>
      </c>
      <c r="U3" s="143"/>
      <c r="V3" s="128">
        <f>IF(E3="Imperial",IF(H3&gt;0,VLOOKUP(H3,CuWtTrans!$A$2:$G$19,6,TRUE)),IF(H3&gt;0,VLOOKUP(H3,CuWtTrans!$A$2:$G$19,5,TRUE)))</f>
        <v>18</v>
      </c>
      <c r="W3" s="128">
        <f t="shared" si="1"/>
        <v>0.9</v>
      </c>
      <c r="X3" s="128">
        <f t="shared" si="1"/>
        <v>0.9</v>
      </c>
      <c r="Y3" s="128">
        <v>0</v>
      </c>
      <c r="Z3" s="128">
        <v>0</v>
      </c>
      <c r="AA3" s="142"/>
      <c r="AC3" s="142"/>
    </row>
    <row r="4" spans="1:29" s="61" customFormat="1">
      <c r="A4" s="83" t="str">
        <f t="shared" si="2"/>
        <v>Foil 1.00oz</v>
      </c>
      <c r="B4" s="84" t="str">
        <f t="shared" si="3"/>
        <v>Foil 1.00oz</v>
      </c>
      <c r="C4" s="53" t="str">
        <f>IF(OR(A4=A3,A4=A18),"DUPE","--")</f>
        <v>--</v>
      </c>
      <c r="D4" s="53">
        <v>0</v>
      </c>
      <c r="E4" s="53" t="s">
        <v>449</v>
      </c>
      <c r="F4" s="142" t="s">
        <v>206</v>
      </c>
      <c r="G4" s="61" t="s">
        <v>175</v>
      </c>
      <c r="H4" s="284">
        <v>1</v>
      </c>
      <c r="I4" s="144">
        <v>0</v>
      </c>
      <c r="J4" s="144">
        <v>0</v>
      </c>
      <c r="K4" s="144">
        <v>0</v>
      </c>
      <c r="L4" s="144">
        <v>0</v>
      </c>
      <c r="M4" s="144"/>
      <c r="N4" s="144"/>
      <c r="O4" s="283">
        <v>1</v>
      </c>
      <c r="P4" s="283">
        <v>1</v>
      </c>
      <c r="Q4" s="53" t="s">
        <v>292</v>
      </c>
      <c r="R4" s="53" t="s">
        <v>208</v>
      </c>
      <c r="S4" s="53" t="str">
        <f t="shared" si="0"/>
        <v>C</v>
      </c>
      <c r="T4" s="61" t="b">
        <v>0</v>
      </c>
      <c r="U4" s="143"/>
      <c r="V4" s="128">
        <f>IF(E4="Imperial",IF(H4&gt;0,VLOOKUP(H4,CuWtTrans!$A$2:$G$19,6,TRUE)),IF(H4&gt;0,VLOOKUP(H4,CuWtTrans!$A$2:$G$19,5,TRUE)))</f>
        <v>35</v>
      </c>
      <c r="W4" s="128">
        <f t="shared" si="1"/>
        <v>1.75</v>
      </c>
      <c r="X4" s="128">
        <f t="shared" si="1"/>
        <v>1.75</v>
      </c>
      <c r="Y4" s="128">
        <v>0</v>
      </c>
      <c r="Z4" s="128">
        <v>0</v>
      </c>
      <c r="AA4" s="142"/>
      <c r="AC4" s="142"/>
    </row>
    <row r="5" spans="1:29" s="61" customFormat="1">
      <c r="A5" s="83" t="str">
        <f t="shared" si="2"/>
        <v>Foil 2.00oz</v>
      </c>
      <c r="B5" s="84" t="str">
        <f t="shared" si="3"/>
        <v>Foil 2.00oz</v>
      </c>
      <c r="C5" s="53" t="str">
        <f>IF(OR(A5=A4,A5=A19),"DUPE","--")</f>
        <v>--</v>
      </c>
      <c r="D5" s="53">
        <v>0</v>
      </c>
      <c r="E5" s="53" t="s">
        <v>449</v>
      </c>
      <c r="F5" s="142" t="s">
        <v>206</v>
      </c>
      <c r="G5" s="61" t="s">
        <v>175</v>
      </c>
      <c r="H5" s="284">
        <v>2</v>
      </c>
      <c r="I5" s="144">
        <v>0</v>
      </c>
      <c r="J5" s="144">
        <v>0</v>
      </c>
      <c r="K5" s="144">
        <v>0</v>
      </c>
      <c r="L5" s="144">
        <v>0</v>
      </c>
      <c r="M5" s="144"/>
      <c r="N5" s="144"/>
      <c r="O5" s="283">
        <v>1</v>
      </c>
      <c r="P5" s="283">
        <v>1</v>
      </c>
      <c r="Q5" s="53" t="s">
        <v>292</v>
      </c>
      <c r="R5" s="53" t="s">
        <v>208</v>
      </c>
      <c r="S5" s="53" t="str">
        <f t="shared" si="0"/>
        <v>C</v>
      </c>
      <c r="T5" s="61" t="b">
        <v>0</v>
      </c>
      <c r="U5" s="143"/>
      <c r="V5" s="128">
        <f>IF(E5="Imperial",IF(H5&gt;0,VLOOKUP(H5,CuWtTrans!$A$2:$G$19,6,TRUE)),IF(H5&gt;0,VLOOKUP(H5,CuWtTrans!$A$2:$G$19,5,TRUE)))</f>
        <v>70</v>
      </c>
      <c r="W5" s="128">
        <f t="shared" si="1"/>
        <v>3.5</v>
      </c>
      <c r="X5" s="128">
        <f t="shared" si="1"/>
        <v>3.5</v>
      </c>
      <c r="Y5" s="128">
        <v>0</v>
      </c>
      <c r="Z5" s="128">
        <v>0</v>
      </c>
      <c r="AA5" s="142"/>
      <c r="AC5" s="142"/>
    </row>
    <row r="6" spans="1:29" s="61" customFormat="1">
      <c r="A6" s="83" t="str">
        <f t="shared" si="2"/>
        <v>Foil 3.00oz</v>
      </c>
      <c r="B6" s="84" t="str">
        <f t="shared" si="3"/>
        <v>Foil 3.00oz</v>
      </c>
      <c r="C6" s="53" t="str">
        <f>IF(OR(A6=A5,A6=A20),"DUPE","--")</f>
        <v>--</v>
      </c>
      <c r="D6" s="53">
        <v>0</v>
      </c>
      <c r="E6" s="53" t="s">
        <v>449</v>
      </c>
      <c r="F6" s="142" t="s">
        <v>206</v>
      </c>
      <c r="G6" s="61" t="s">
        <v>175</v>
      </c>
      <c r="H6" s="284">
        <v>3</v>
      </c>
      <c r="I6" s="144">
        <v>0</v>
      </c>
      <c r="J6" s="144">
        <v>0</v>
      </c>
      <c r="K6" s="144">
        <v>0</v>
      </c>
      <c r="L6" s="144">
        <v>0</v>
      </c>
      <c r="M6" s="144"/>
      <c r="N6" s="144"/>
      <c r="O6" s="283">
        <v>1</v>
      </c>
      <c r="P6" s="283">
        <v>1</v>
      </c>
      <c r="Q6" s="53" t="s">
        <v>292</v>
      </c>
      <c r="R6" s="53" t="s">
        <v>208</v>
      </c>
      <c r="S6" s="53" t="str">
        <f t="shared" si="0"/>
        <v>C</v>
      </c>
      <c r="T6" s="61" t="b">
        <v>0</v>
      </c>
      <c r="U6" s="143"/>
      <c r="V6" s="128">
        <f>IF(E6="Imperial",IF(H6&gt;0,VLOOKUP(H6,CuWtTrans!$A$2:$G$19,6,TRUE)),IF(H6&gt;0,VLOOKUP(H6,CuWtTrans!$A$2:$G$19,5,TRUE)))</f>
        <v>105</v>
      </c>
      <c r="W6" s="128">
        <f t="shared" si="1"/>
        <v>5.25</v>
      </c>
      <c r="X6" s="128">
        <f t="shared" si="1"/>
        <v>5.25</v>
      </c>
      <c r="Y6" s="128">
        <v>0</v>
      </c>
      <c r="Z6" s="128">
        <v>0</v>
      </c>
      <c r="AA6" s="142"/>
      <c r="AC6" s="142"/>
    </row>
    <row r="7" spans="1:29" s="61" customFormat="1">
      <c r="A7" s="83"/>
      <c r="B7" s="84"/>
      <c r="H7" s="145"/>
      <c r="I7" s="126"/>
      <c r="J7" s="126"/>
      <c r="K7" s="126"/>
      <c r="L7" s="126"/>
      <c r="M7" s="126"/>
      <c r="N7" s="126"/>
      <c r="O7" s="283"/>
      <c r="P7" s="283"/>
      <c r="Q7" s="53"/>
      <c r="R7" s="53"/>
      <c r="S7" s="53"/>
      <c r="U7" s="145"/>
      <c r="V7" s="146"/>
      <c r="W7" s="128"/>
      <c r="X7" s="128"/>
      <c r="Y7" s="128"/>
      <c r="Z7" s="128"/>
    </row>
    <row r="8" spans="1:29" s="61" customFormat="1">
      <c r="A8" s="83" t="str">
        <f t="shared" si="2"/>
        <v>Foil 0.50oz</v>
      </c>
      <c r="B8" s="84" t="str">
        <f t="shared" si="3"/>
        <v>Foil 0.50oz</v>
      </c>
      <c r="C8" s="53" t="str">
        <f>IF(OR(A8=A1,A8=A9),"DUPE","--")</f>
        <v>--</v>
      </c>
      <c r="D8" s="53">
        <v>0</v>
      </c>
      <c r="E8" s="53" t="s">
        <v>449</v>
      </c>
      <c r="F8" s="142" t="s">
        <v>206</v>
      </c>
      <c r="G8" s="61" t="s">
        <v>175</v>
      </c>
      <c r="H8" s="143">
        <v>0.5</v>
      </c>
      <c r="I8" s="144">
        <v>0</v>
      </c>
      <c r="J8" s="144">
        <v>0</v>
      </c>
      <c r="K8" s="144">
        <v>0</v>
      </c>
      <c r="L8" s="144">
        <v>0</v>
      </c>
      <c r="M8" s="144"/>
      <c r="N8" s="144"/>
      <c r="O8" s="283">
        <v>1</v>
      </c>
      <c r="P8" s="283">
        <v>1</v>
      </c>
      <c r="Q8" s="53" t="s">
        <v>223</v>
      </c>
      <c r="R8" s="53" t="s">
        <v>208</v>
      </c>
      <c r="S8" s="53" t="str">
        <f t="shared" ref="S8:S29" si="5">IF(Q8="ED-HTE","H",IF(Q8="ED-RTF","R",IF(Q8="ED-DST","P",IF(Q8="RD","B",IF(Q8="ED","C","&lt;Not Defined&gt;")))))</f>
        <v>B</v>
      </c>
      <c r="T8" s="61" t="b">
        <v>0</v>
      </c>
      <c r="U8" s="143"/>
      <c r="V8" s="128">
        <f>IF(E8="Imperial",IF(H8&gt;0,VLOOKUP(H8,CuWtTrans!$A$2:$G$19,6,TRUE)),IF(H8&gt;0,VLOOKUP(H8,CuWtTrans!$A$2:$G$19,5,TRUE)))</f>
        <v>18</v>
      </c>
      <c r="W8" s="128">
        <f t="shared" ref="W8:X29" si="6">$V8*0.05</f>
        <v>0.9</v>
      </c>
      <c r="X8" s="128">
        <f t="shared" si="6"/>
        <v>0.9</v>
      </c>
      <c r="Y8" s="128">
        <v>0</v>
      </c>
      <c r="Z8" s="128">
        <v>0</v>
      </c>
      <c r="AA8" s="142"/>
      <c r="AC8" s="142"/>
    </row>
    <row r="9" spans="1:29" s="61" customFormat="1">
      <c r="A9" s="83" t="str">
        <f t="shared" si="2"/>
        <v>Foil 1.00oz</v>
      </c>
      <c r="B9" s="84" t="str">
        <f t="shared" si="3"/>
        <v>Foil 1.00oz</v>
      </c>
      <c r="C9" s="53" t="str">
        <f>IF(OR(A9=A8,A9=A10),"DUPE","--")</f>
        <v>--</v>
      </c>
      <c r="D9" s="53">
        <v>0</v>
      </c>
      <c r="E9" s="53" t="s">
        <v>449</v>
      </c>
      <c r="F9" s="142" t="s">
        <v>206</v>
      </c>
      <c r="G9" s="61" t="s">
        <v>175</v>
      </c>
      <c r="H9" s="143">
        <v>1</v>
      </c>
      <c r="I9" s="144">
        <v>0</v>
      </c>
      <c r="J9" s="144">
        <v>0</v>
      </c>
      <c r="K9" s="144">
        <v>0</v>
      </c>
      <c r="L9" s="144">
        <v>0</v>
      </c>
      <c r="M9" s="144"/>
      <c r="N9" s="144"/>
      <c r="O9" s="283">
        <v>1</v>
      </c>
      <c r="P9" s="283">
        <v>1</v>
      </c>
      <c r="Q9" s="53" t="s">
        <v>223</v>
      </c>
      <c r="R9" s="53" t="s">
        <v>208</v>
      </c>
      <c r="S9" s="53" t="str">
        <f t="shared" si="5"/>
        <v>B</v>
      </c>
      <c r="T9" s="61" t="b">
        <v>0</v>
      </c>
      <c r="U9" s="143"/>
      <c r="V9" s="128">
        <f>IF(E9="Imperial",IF(H9&gt;0,VLOOKUP(H9,CuWtTrans!$A$2:$G$19,6,TRUE)),IF(H9&gt;0,VLOOKUP(H9,CuWtTrans!$A$2:$G$19,5,TRUE)))</f>
        <v>35</v>
      </c>
      <c r="W9" s="128">
        <f t="shared" si="6"/>
        <v>1.75</v>
      </c>
      <c r="X9" s="128">
        <f t="shared" si="6"/>
        <v>1.75</v>
      </c>
      <c r="Y9" s="128">
        <v>0</v>
      </c>
      <c r="Z9" s="128">
        <v>0</v>
      </c>
      <c r="AA9" s="142"/>
      <c r="AC9" s="142"/>
    </row>
    <row r="10" spans="1:29" s="61" customFormat="1">
      <c r="A10" s="83" t="str">
        <f t="shared" si="2"/>
        <v>Foil 0.25oz</v>
      </c>
      <c r="B10" s="84" t="str">
        <f t="shared" si="3"/>
        <v>Foil 0.25oz</v>
      </c>
      <c r="C10" s="53" t="str">
        <f>IF(OR(A10=A9,A10=A2),"DUPE","--")</f>
        <v>--</v>
      </c>
      <c r="D10" s="53">
        <v>0</v>
      </c>
      <c r="E10" s="53" t="s">
        <v>449</v>
      </c>
      <c r="F10" s="142" t="s">
        <v>206</v>
      </c>
      <c r="G10" s="61" t="s">
        <v>175</v>
      </c>
      <c r="H10" s="143">
        <v>0.25</v>
      </c>
      <c r="I10" s="144">
        <v>0</v>
      </c>
      <c r="J10" s="144">
        <v>0</v>
      </c>
      <c r="K10" s="144">
        <v>0</v>
      </c>
      <c r="L10" s="144">
        <v>0</v>
      </c>
      <c r="M10" s="144"/>
      <c r="N10" s="144"/>
      <c r="O10" s="283">
        <v>1</v>
      </c>
      <c r="P10" s="283">
        <v>1</v>
      </c>
      <c r="Q10" s="53" t="s">
        <v>292</v>
      </c>
      <c r="R10" s="53" t="s">
        <v>208</v>
      </c>
      <c r="S10" s="53" t="str">
        <f t="shared" si="5"/>
        <v>C</v>
      </c>
      <c r="T10" s="61" t="b">
        <v>0</v>
      </c>
      <c r="U10" s="143"/>
      <c r="V10" s="128">
        <f>IF(E10="Imperial",IF(H10&gt;0,VLOOKUP(H10,CuWtTrans!$A$2:$G$19,6,TRUE)),IF(H10&gt;0,VLOOKUP(H10,CuWtTrans!$A$2:$G$19,5,TRUE)))</f>
        <v>9</v>
      </c>
      <c r="W10" s="128">
        <f t="shared" si="6"/>
        <v>0.45</v>
      </c>
      <c r="X10" s="128">
        <f t="shared" si="6"/>
        <v>0.45</v>
      </c>
      <c r="Y10" s="128">
        <v>0</v>
      </c>
      <c r="Z10" s="128">
        <v>0</v>
      </c>
      <c r="AA10" s="142"/>
      <c r="AC10" s="142"/>
    </row>
    <row r="11" spans="1:29" s="61" customFormat="1">
      <c r="A11" s="83" t="str">
        <f t="shared" si="2"/>
        <v>Foil 4.00oz</v>
      </c>
      <c r="B11" s="84" t="str">
        <f t="shared" si="3"/>
        <v>Foil 4.00oz</v>
      </c>
      <c r="C11" s="53" t="str">
        <f>IF(OR(A11=A6,A11=A21),"DUPE","--")</f>
        <v>--</v>
      </c>
      <c r="D11" s="53">
        <v>0</v>
      </c>
      <c r="E11" s="53" t="s">
        <v>449</v>
      </c>
      <c r="F11" s="142" t="s">
        <v>206</v>
      </c>
      <c r="G11" s="61" t="s">
        <v>175</v>
      </c>
      <c r="H11" s="143">
        <v>4</v>
      </c>
      <c r="I11" s="144">
        <v>0</v>
      </c>
      <c r="J11" s="144">
        <v>0</v>
      </c>
      <c r="K11" s="144">
        <v>0</v>
      </c>
      <c r="L11" s="144">
        <v>0</v>
      </c>
      <c r="M11" s="144"/>
      <c r="N11" s="144"/>
      <c r="O11" s="283">
        <v>1</v>
      </c>
      <c r="P11" s="283">
        <v>1</v>
      </c>
      <c r="Q11" s="53" t="s">
        <v>292</v>
      </c>
      <c r="R11" s="53" t="s">
        <v>208</v>
      </c>
      <c r="S11" s="53" t="str">
        <f t="shared" si="5"/>
        <v>C</v>
      </c>
      <c r="T11" s="61" t="b">
        <v>0</v>
      </c>
      <c r="U11" s="143"/>
      <c r="V11" s="128">
        <f>IF(E11="Imperial",IF(H11&gt;0,VLOOKUP(H11,CuWtTrans!$A$2:$G$19,6,TRUE)),IF(H11&gt;0,VLOOKUP(H11,CuWtTrans!$A$2:$G$19,5,TRUE)))</f>
        <v>140</v>
      </c>
      <c r="W11" s="128">
        <f t="shared" si="6"/>
        <v>7</v>
      </c>
      <c r="X11" s="128">
        <f t="shared" si="6"/>
        <v>7</v>
      </c>
      <c r="Y11" s="128">
        <v>0</v>
      </c>
      <c r="Z11" s="128">
        <v>0</v>
      </c>
      <c r="AA11" s="142"/>
      <c r="AC11" s="142"/>
    </row>
    <row r="12" spans="1:29" s="61" customFormat="1">
      <c r="A12" s="83" t="str">
        <f t="shared" si="2"/>
        <v>Foil 5.00oz</v>
      </c>
      <c r="B12" s="84" t="str">
        <f t="shared" si="3"/>
        <v>Foil 5.00oz</v>
      </c>
      <c r="C12" s="53" t="str">
        <f t="shared" ref="C12:C29" si="7">IF(OR(A12=A11,A12=A22),"DUPE","--")</f>
        <v>--</v>
      </c>
      <c r="D12" s="53">
        <v>0</v>
      </c>
      <c r="E12" s="53" t="s">
        <v>449</v>
      </c>
      <c r="F12" s="142" t="s">
        <v>206</v>
      </c>
      <c r="G12" s="61" t="s">
        <v>175</v>
      </c>
      <c r="H12" s="143">
        <v>5</v>
      </c>
      <c r="I12" s="144">
        <v>0</v>
      </c>
      <c r="J12" s="144">
        <v>0</v>
      </c>
      <c r="K12" s="144">
        <v>0</v>
      </c>
      <c r="L12" s="144">
        <v>0</v>
      </c>
      <c r="M12" s="144"/>
      <c r="N12" s="144"/>
      <c r="O12" s="283">
        <v>1</v>
      </c>
      <c r="P12" s="283">
        <v>1</v>
      </c>
      <c r="Q12" s="53" t="s">
        <v>292</v>
      </c>
      <c r="R12" s="53" t="s">
        <v>208</v>
      </c>
      <c r="S12" s="53" t="str">
        <f t="shared" si="5"/>
        <v>C</v>
      </c>
      <c r="T12" s="61" t="b">
        <v>0</v>
      </c>
      <c r="U12" s="143"/>
      <c r="V12" s="128">
        <f>IF(E12="Imperial",IF(H12&gt;0,VLOOKUP(H12,CuWtTrans!$A$2:$G$19,6,TRUE)),IF(H12&gt;0,VLOOKUP(H12,CuWtTrans!$A$2:$G$19,5,TRUE)))</f>
        <v>175</v>
      </c>
      <c r="W12" s="128">
        <f t="shared" si="6"/>
        <v>8.75</v>
      </c>
      <c r="X12" s="128">
        <f t="shared" si="6"/>
        <v>8.75</v>
      </c>
      <c r="Y12" s="128">
        <v>0</v>
      </c>
      <c r="Z12" s="128">
        <v>0</v>
      </c>
      <c r="AA12" s="142"/>
      <c r="AC12" s="142"/>
    </row>
    <row r="13" spans="1:29" s="61" customFormat="1">
      <c r="A13" s="83" t="str">
        <f t="shared" si="2"/>
        <v>Foil 6.00oz</v>
      </c>
      <c r="B13" s="84" t="str">
        <f t="shared" si="3"/>
        <v>Foil 6.00oz</v>
      </c>
      <c r="C13" s="53" t="str">
        <f t="shared" si="7"/>
        <v>--</v>
      </c>
      <c r="D13" s="53">
        <v>0</v>
      </c>
      <c r="E13" s="53" t="s">
        <v>449</v>
      </c>
      <c r="F13" s="142" t="s">
        <v>206</v>
      </c>
      <c r="G13" s="61" t="s">
        <v>175</v>
      </c>
      <c r="H13" s="143">
        <v>6</v>
      </c>
      <c r="I13" s="144">
        <v>0</v>
      </c>
      <c r="J13" s="144">
        <v>0</v>
      </c>
      <c r="K13" s="144">
        <v>0</v>
      </c>
      <c r="L13" s="144">
        <v>0</v>
      </c>
      <c r="M13" s="144"/>
      <c r="N13" s="144"/>
      <c r="O13" s="283">
        <v>1</v>
      </c>
      <c r="P13" s="283">
        <v>1</v>
      </c>
      <c r="Q13" s="53" t="s">
        <v>292</v>
      </c>
      <c r="R13" s="53" t="s">
        <v>208</v>
      </c>
      <c r="S13" s="53" t="str">
        <f t="shared" si="5"/>
        <v>C</v>
      </c>
      <c r="T13" s="61" t="b">
        <v>0</v>
      </c>
      <c r="U13" s="143"/>
      <c r="V13" s="128">
        <f>IF(E13="Imperial",IF(H13&gt;0,VLOOKUP(H13,CuWtTrans!$A$2:$G$19,6,TRUE)),IF(H13&gt;0,VLOOKUP(H13,CuWtTrans!$A$2:$G$19,5,TRUE)))</f>
        <v>210</v>
      </c>
      <c r="W13" s="128">
        <f t="shared" si="6"/>
        <v>10.5</v>
      </c>
      <c r="X13" s="128">
        <f t="shared" si="6"/>
        <v>10.5</v>
      </c>
      <c r="Y13" s="128">
        <v>0</v>
      </c>
      <c r="Z13" s="128">
        <v>0</v>
      </c>
      <c r="AA13" s="142"/>
      <c r="AC13" s="142"/>
    </row>
    <row r="14" spans="1:29" s="61" customFormat="1">
      <c r="A14" s="83" t="str">
        <f t="shared" si="2"/>
        <v>Foil 7.00oz</v>
      </c>
      <c r="B14" s="84" t="str">
        <f t="shared" si="3"/>
        <v>Foil 7.00oz</v>
      </c>
      <c r="C14" s="53" t="str">
        <f t="shared" si="7"/>
        <v>--</v>
      </c>
      <c r="D14" s="53">
        <v>0</v>
      </c>
      <c r="E14" s="53" t="s">
        <v>449</v>
      </c>
      <c r="F14" s="142" t="s">
        <v>206</v>
      </c>
      <c r="G14" s="61" t="s">
        <v>175</v>
      </c>
      <c r="H14" s="143">
        <v>7</v>
      </c>
      <c r="I14" s="144">
        <v>0</v>
      </c>
      <c r="J14" s="144">
        <v>0</v>
      </c>
      <c r="K14" s="144">
        <v>0</v>
      </c>
      <c r="L14" s="144">
        <v>0</v>
      </c>
      <c r="M14" s="144"/>
      <c r="N14" s="144"/>
      <c r="O14" s="283">
        <v>1</v>
      </c>
      <c r="P14" s="283">
        <v>1</v>
      </c>
      <c r="Q14" s="53" t="s">
        <v>292</v>
      </c>
      <c r="R14" s="53" t="s">
        <v>208</v>
      </c>
      <c r="S14" s="53" t="str">
        <f t="shared" si="5"/>
        <v>C</v>
      </c>
      <c r="T14" s="61" t="b">
        <v>0</v>
      </c>
      <c r="U14" s="143"/>
      <c r="V14" s="128">
        <f>IF(E14="Imperial",IF(H14&gt;0,VLOOKUP(H14,CuWtTrans!$A$2:$G$19,6,TRUE)),IF(H14&gt;0,VLOOKUP(H14,CuWtTrans!$A$2:$G$19,5,TRUE)))</f>
        <v>245</v>
      </c>
      <c r="W14" s="128">
        <f t="shared" si="6"/>
        <v>12.25</v>
      </c>
      <c r="X14" s="128">
        <f t="shared" si="6"/>
        <v>12.25</v>
      </c>
      <c r="Y14" s="128">
        <v>0</v>
      </c>
      <c r="Z14" s="128">
        <v>0</v>
      </c>
      <c r="AA14" s="142"/>
      <c r="AC14" s="142"/>
    </row>
    <row r="15" spans="1:29" s="61" customFormat="1">
      <c r="A15" s="83" t="str">
        <f t="shared" si="2"/>
        <v>Foil 8.00oz</v>
      </c>
      <c r="B15" s="84" t="str">
        <f t="shared" si="3"/>
        <v>Foil 8.00oz</v>
      </c>
      <c r="C15" s="53" t="str">
        <f t="shared" si="7"/>
        <v>--</v>
      </c>
      <c r="D15" s="53">
        <v>0</v>
      </c>
      <c r="E15" s="53" t="s">
        <v>449</v>
      </c>
      <c r="F15" s="142" t="s">
        <v>206</v>
      </c>
      <c r="G15" s="61" t="s">
        <v>175</v>
      </c>
      <c r="H15" s="143">
        <v>8</v>
      </c>
      <c r="I15" s="144">
        <v>0</v>
      </c>
      <c r="J15" s="144">
        <v>0</v>
      </c>
      <c r="K15" s="144">
        <v>0</v>
      </c>
      <c r="L15" s="144">
        <v>0</v>
      </c>
      <c r="M15" s="144"/>
      <c r="N15" s="144"/>
      <c r="O15" s="283">
        <v>1</v>
      </c>
      <c r="P15" s="283">
        <v>1</v>
      </c>
      <c r="Q15" s="53" t="s">
        <v>292</v>
      </c>
      <c r="R15" s="53" t="s">
        <v>208</v>
      </c>
      <c r="S15" s="53" t="str">
        <f t="shared" si="5"/>
        <v>C</v>
      </c>
      <c r="T15" s="61" t="b">
        <v>0</v>
      </c>
      <c r="U15" s="143"/>
      <c r="V15" s="128">
        <f>IF(E15="Imperial",IF(H15&gt;0,VLOOKUP(H15,CuWtTrans!$A$2:$G$19,6,TRUE)),IF(H15&gt;0,VLOOKUP(H15,CuWtTrans!$A$2:$G$19,5,TRUE)))</f>
        <v>280</v>
      </c>
      <c r="W15" s="128">
        <f t="shared" si="6"/>
        <v>14</v>
      </c>
      <c r="X15" s="128">
        <f t="shared" si="6"/>
        <v>14</v>
      </c>
      <c r="Y15" s="128">
        <v>0</v>
      </c>
      <c r="Z15" s="128">
        <v>0</v>
      </c>
      <c r="AA15" s="142"/>
      <c r="AC15" s="142"/>
    </row>
    <row r="16" spans="1:29" s="61" customFormat="1">
      <c r="A16" s="83" t="str">
        <f t="shared" si="2"/>
        <v>Foil 9.00oz</v>
      </c>
      <c r="B16" s="84" t="str">
        <f t="shared" si="3"/>
        <v>Foil 9.00oz</v>
      </c>
      <c r="C16" s="53" t="str">
        <f t="shared" si="7"/>
        <v>--</v>
      </c>
      <c r="D16" s="53">
        <v>0</v>
      </c>
      <c r="E16" s="53" t="s">
        <v>449</v>
      </c>
      <c r="F16" s="142" t="s">
        <v>206</v>
      </c>
      <c r="G16" s="61" t="s">
        <v>175</v>
      </c>
      <c r="H16" s="143">
        <v>9</v>
      </c>
      <c r="I16" s="144">
        <v>0</v>
      </c>
      <c r="J16" s="144">
        <v>0</v>
      </c>
      <c r="K16" s="144">
        <v>0</v>
      </c>
      <c r="L16" s="144">
        <v>0</v>
      </c>
      <c r="M16" s="144"/>
      <c r="N16" s="144"/>
      <c r="O16" s="283">
        <v>1</v>
      </c>
      <c r="P16" s="283">
        <v>1</v>
      </c>
      <c r="Q16" s="53" t="s">
        <v>292</v>
      </c>
      <c r="R16" s="53" t="s">
        <v>208</v>
      </c>
      <c r="S16" s="53" t="str">
        <f t="shared" si="5"/>
        <v>C</v>
      </c>
      <c r="T16" s="61" t="b">
        <v>0</v>
      </c>
      <c r="U16" s="143"/>
      <c r="V16" s="128">
        <f>IF(E16="Imperial",IF(H16&gt;0,VLOOKUP(H16,CuWtTrans!$A$2:$G$19,6,TRUE)),IF(H16&gt;0,VLOOKUP(H16,CuWtTrans!$A$2:$G$19,5,TRUE)))</f>
        <v>315</v>
      </c>
      <c r="W16" s="128">
        <f t="shared" si="6"/>
        <v>15.75</v>
      </c>
      <c r="X16" s="128">
        <f t="shared" si="6"/>
        <v>15.75</v>
      </c>
      <c r="Y16" s="128">
        <v>0</v>
      </c>
      <c r="Z16" s="128">
        <v>0</v>
      </c>
      <c r="AA16" s="142"/>
      <c r="AC16" s="142"/>
    </row>
    <row r="17" spans="1:29" s="61" customFormat="1">
      <c r="A17" s="83" t="str">
        <f t="shared" si="2"/>
        <v>Foil 10.00oz</v>
      </c>
      <c r="B17" s="84" t="str">
        <f t="shared" si="3"/>
        <v>Foil 10.00oz</v>
      </c>
      <c r="C17" s="53" t="str">
        <f t="shared" si="7"/>
        <v>--</v>
      </c>
      <c r="D17" s="53">
        <v>0</v>
      </c>
      <c r="E17" s="53" t="s">
        <v>449</v>
      </c>
      <c r="F17" s="142" t="s">
        <v>206</v>
      </c>
      <c r="G17" s="61" t="s">
        <v>175</v>
      </c>
      <c r="H17" s="143">
        <v>10</v>
      </c>
      <c r="I17" s="144">
        <v>0</v>
      </c>
      <c r="J17" s="144">
        <v>0</v>
      </c>
      <c r="K17" s="144">
        <v>0</v>
      </c>
      <c r="L17" s="144">
        <v>0</v>
      </c>
      <c r="M17" s="144"/>
      <c r="N17" s="144"/>
      <c r="O17" s="283">
        <v>1</v>
      </c>
      <c r="P17" s="283">
        <v>1</v>
      </c>
      <c r="Q17" s="53" t="s">
        <v>292</v>
      </c>
      <c r="R17" s="53" t="s">
        <v>208</v>
      </c>
      <c r="S17" s="53" t="str">
        <f t="shared" si="5"/>
        <v>C</v>
      </c>
      <c r="T17" s="61" t="b">
        <v>0</v>
      </c>
      <c r="U17" s="143"/>
      <c r="V17" s="128">
        <f>IF(E17="Imperial",IF(H17&gt;0,VLOOKUP(H17,CuWtTrans!$A$2:$G$19,6,TRUE)),IF(H17&gt;0,VLOOKUP(H17,CuWtTrans!$A$2:$G$19,5,TRUE)))</f>
        <v>350</v>
      </c>
      <c r="W17" s="128">
        <f t="shared" si="6"/>
        <v>17.5</v>
      </c>
      <c r="X17" s="128">
        <f t="shared" si="6"/>
        <v>17.5</v>
      </c>
      <c r="Y17" s="128">
        <v>0</v>
      </c>
      <c r="Z17" s="128">
        <v>0</v>
      </c>
      <c r="AA17" s="142"/>
      <c r="AC17" s="142"/>
    </row>
    <row r="18" spans="1:29" s="61" customFormat="1">
      <c r="A18" s="83" t="str">
        <f t="shared" si="2"/>
        <v>Foil 0.25oz</v>
      </c>
      <c r="B18" s="84" t="str">
        <f t="shared" si="3"/>
        <v>Foil 0.25oz</v>
      </c>
      <c r="C18" s="53" t="str">
        <f t="shared" si="7"/>
        <v>--</v>
      </c>
      <c r="D18" s="53">
        <v>0</v>
      </c>
      <c r="E18" s="53" t="s">
        <v>449</v>
      </c>
      <c r="F18" s="142" t="s">
        <v>206</v>
      </c>
      <c r="G18" s="61" t="s">
        <v>175</v>
      </c>
      <c r="H18" s="143">
        <v>0.25</v>
      </c>
      <c r="I18" s="144">
        <v>0</v>
      </c>
      <c r="J18" s="144">
        <v>0</v>
      </c>
      <c r="K18" s="144">
        <v>0</v>
      </c>
      <c r="L18" s="144">
        <v>0</v>
      </c>
      <c r="M18" s="144"/>
      <c r="N18" s="144"/>
      <c r="O18" s="283">
        <v>1</v>
      </c>
      <c r="P18" s="283">
        <v>1</v>
      </c>
      <c r="Q18" s="53" t="s">
        <v>292</v>
      </c>
      <c r="R18" s="53" t="s">
        <v>464</v>
      </c>
      <c r="S18" s="53" t="str">
        <f t="shared" si="5"/>
        <v>C</v>
      </c>
      <c r="T18" s="61" t="b">
        <v>0</v>
      </c>
      <c r="U18" s="143"/>
      <c r="V18" s="128">
        <f>IF(E18="Imperial",IF(H18&gt;0,VLOOKUP(H18,CuWtTrans!$A$2:$G$19,6,TRUE)),IF(H18&gt;0,VLOOKUP(H18,CuWtTrans!$A$2:$G$19,5,TRUE)))</f>
        <v>9</v>
      </c>
      <c r="W18" s="128">
        <f t="shared" si="6"/>
        <v>0.45</v>
      </c>
      <c r="X18" s="128">
        <f t="shared" si="6"/>
        <v>0.45</v>
      </c>
      <c r="Y18" s="128">
        <v>10</v>
      </c>
      <c r="Z18" s="128">
        <v>10</v>
      </c>
      <c r="AA18" s="142"/>
      <c r="AC18" s="142"/>
    </row>
    <row r="19" spans="1:29" s="61" customFormat="1">
      <c r="A19" s="83" t="str">
        <f t="shared" si="2"/>
        <v>Foil 0.33oz</v>
      </c>
      <c r="B19" s="84" t="str">
        <f t="shared" si="3"/>
        <v>Foil 0.33oz</v>
      </c>
      <c r="C19" s="53" t="str">
        <f t="shared" si="7"/>
        <v>--</v>
      </c>
      <c r="D19" s="53">
        <v>0</v>
      </c>
      <c r="E19" s="53" t="s">
        <v>449</v>
      </c>
      <c r="F19" s="142" t="s">
        <v>206</v>
      </c>
      <c r="G19" s="61" t="s">
        <v>175</v>
      </c>
      <c r="H19" s="143">
        <v>0.33300000000000002</v>
      </c>
      <c r="I19" s="144">
        <v>0</v>
      </c>
      <c r="J19" s="144">
        <v>0</v>
      </c>
      <c r="K19" s="144">
        <v>0</v>
      </c>
      <c r="L19" s="144">
        <v>0</v>
      </c>
      <c r="M19" s="144"/>
      <c r="N19" s="144"/>
      <c r="O19" s="283">
        <v>1</v>
      </c>
      <c r="P19" s="283">
        <v>1</v>
      </c>
      <c r="Q19" s="53" t="s">
        <v>292</v>
      </c>
      <c r="R19" s="53" t="s">
        <v>464</v>
      </c>
      <c r="S19" s="53" t="str">
        <f t="shared" si="5"/>
        <v>C</v>
      </c>
      <c r="T19" s="61" t="b">
        <v>0</v>
      </c>
      <c r="U19" s="143"/>
      <c r="V19" s="128">
        <f>IF(E19="Imperial",IF(H19&gt;0,VLOOKUP(H19,CuWtTrans!$A$2:$G$19,6,TRUE)),IF(H19&gt;0,VLOOKUP(H19,CuWtTrans!$A$2:$G$19,5,TRUE)))</f>
        <v>12</v>
      </c>
      <c r="W19" s="128">
        <f t="shared" si="6"/>
        <v>0.60000000000000009</v>
      </c>
      <c r="X19" s="128">
        <f t="shared" si="6"/>
        <v>0.60000000000000009</v>
      </c>
      <c r="Y19" s="128">
        <v>10</v>
      </c>
      <c r="Z19" s="128">
        <v>10</v>
      </c>
      <c r="AA19" s="142"/>
      <c r="AC19" s="142"/>
    </row>
    <row r="20" spans="1:29" s="61" customFormat="1">
      <c r="A20" s="83" t="str">
        <f t="shared" si="2"/>
        <v>Foil 0.50oz</v>
      </c>
      <c r="B20" s="84" t="str">
        <f t="shared" si="3"/>
        <v>Foil 0.50oz</v>
      </c>
      <c r="C20" s="53" t="str">
        <f t="shared" si="7"/>
        <v>--</v>
      </c>
      <c r="D20" s="53">
        <v>0</v>
      </c>
      <c r="E20" s="53" t="s">
        <v>449</v>
      </c>
      <c r="F20" s="142" t="s">
        <v>206</v>
      </c>
      <c r="G20" s="61" t="s">
        <v>175</v>
      </c>
      <c r="H20" s="143">
        <v>0.5</v>
      </c>
      <c r="I20" s="144">
        <v>0</v>
      </c>
      <c r="J20" s="144">
        <v>0</v>
      </c>
      <c r="K20" s="144">
        <v>0</v>
      </c>
      <c r="L20" s="144">
        <v>0</v>
      </c>
      <c r="M20" s="144"/>
      <c r="N20" s="144"/>
      <c r="O20" s="283">
        <v>1</v>
      </c>
      <c r="P20" s="283">
        <v>1</v>
      </c>
      <c r="Q20" s="53" t="s">
        <v>292</v>
      </c>
      <c r="R20" s="53" t="s">
        <v>464</v>
      </c>
      <c r="S20" s="53" t="str">
        <f t="shared" si="5"/>
        <v>C</v>
      </c>
      <c r="T20" s="61" t="b">
        <v>0</v>
      </c>
      <c r="U20" s="143"/>
      <c r="V20" s="128">
        <f>IF(E20="Imperial",IF(H20&gt;0,VLOOKUP(H20,CuWtTrans!$A$2:$G$19,6,TRUE)),IF(H20&gt;0,VLOOKUP(H20,CuWtTrans!$A$2:$G$19,5,TRUE)))</f>
        <v>18</v>
      </c>
      <c r="W20" s="128">
        <f t="shared" si="6"/>
        <v>0.9</v>
      </c>
      <c r="X20" s="128">
        <f t="shared" si="6"/>
        <v>0.9</v>
      </c>
      <c r="Y20" s="128">
        <v>10</v>
      </c>
      <c r="Z20" s="128">
        <v>10</v>
      </c>
      <c r="AA20" s="142"/>
      <c r="AC20" s="142"/>
    </row>
    <row r="21" spans="1:29" s="61" customFormat="1">
      <c r="A21" s="83" t="str">
        <f t="shared" si="2"/>
        <v>Foil 1.00oz</v>
      </c>
      <c r="B21" s="84" t="str">
        <f t="shared" si="3"/>
        <v>Foil 1.00oz</v>
      </c>
      <c r="C21" s="53" t="str">
        <f t="shared" si="7"/>
        <v>--</v>
      </c>
      <c r="D21" s="53">
        <v>0</v>
      </c>
      <c r="E21" s="53" t="s">
        <v>449</v>
      </c>
      <c r="F21" s="142" t="s">
        <v>206</v>
      </c>
      <c r="G21" s="61" t="s">
        <v>175</v>
      </c>
      <c r="H21" s="143">
        <v>1</v>
      </c>
      <c r="I21" s="144">
        <v>0</v>
      </c>
      <c r="J21" s="144">
        <v>0</v>
      </c>
      <c r="K21" s="144">
        <v>0</v>
      </c>
      <c r="L21" s="144">
        <v>0</v>
      </c>
      <c r="M21" s="144"/>
      <c r="N21" s="144"/>
      <c r="O21" s="283">
        <v>1</v>
      </c>
      <c r="P21" s="283">
        <v>1</v>
      </c>
      <c r="Q21" s="53" t="s">
        <v>292</v>
      </c>
      <c r="R21" s="53" t="s">
        <v>464</v>
      </c>
      <c r="S21" s="53" t="str">
        <f t="shared" si="5"/>
        <v>C</v>
      </c>
      <c r="T21" s="61" t="b">
        <v>0</v>
      </c>
      <c r="U21" s="143"/>
      <c r="V21" s="128">
        <f>IF(E21="Imperial",IF(H21&gt;0,VLOOKUP(H21,CuWtTrans!$A$2:$G$19,6,TRUE)),IF(H21&gt;0,VLOOKUP(H21,CuWtTrans!$A$2:$G$19,5,TRUE)))</f>
        <v>35</v>
      </c>
      <c r="W21" s="128">
        <f t="shared" si="6"/>
        <v>1.75</v>
      </c>
      <c r="X21" s="128">
        <f t="shared" si="6"/>
        <v>1.75</v>
      </c>
      <c r="Y21" s="128">
        <v>10</v>
      </c>
      <c r="Z21" s="128">
        <v>10</v>
      </c>
      <c r="AA21" s="142"/>
      <c r="AC21" s="142"/>
    </row>
    <row r="22" spans="1:29" s="61" customFormat="1">
      <c r="A22" s="83" t="str">
        <f t="shared" si="2"/>
        <v>Foil 0.25oz</v>
      </c>
      <c r="B22" s="84" t="str">
        <f t="shared" si="3"/>
        <v>Foil 0.25oz</v>
      </c>
      <c r="C22" s="53" t="str">
        <f t="shared" si="7"/>
        <v>--</v>
      </c>
      <c r="D22" s="53">
        <v>0</v>
      </c>
      <c r="E22" s="53" t="s">
        <v>449</v>
      </c>
      <c r="F22" s="142" t="s">
        <v>206</v>
      </c>
      <c r="G22" s="61" t="s">
        <v>175</v>
      </c>
      <c r="H22" s="143">
        <v>0.25</v>
      </c>
      <c r="I22" s="144">
        <v>0</v>
      </c>
      <c r="J22" s="144">
        <v>0</v>
      </c>
      <c r="K22" s="144">
        <v>0</v>
      </c>
      <c r="L22" s="144">
        <v>0</v>
      </c>
      <c r="M22" s="144"/>
      <c r="N22" s="144"/>
      <c r="O22" s="283">
        <v>1</v>
      </c>
      <c r="P22" s="283">
        <v>1</v>
      </c>
      <c r="Q22" s="53" t="s">
        <v>292</v>
      </c>
      <c r="R22" s="53" t="s">
        <v>465</v>
      </c>
      <c r="S22" s="53" t="str">
        <f t="shared" si="5"/>
        <v>C</v>
      </c>
      <c r="T22" s="61" t="b">
        <v>0</v>
      </c>
      <c r="U22" s="143"/>
      <c r="V22" s="128">
        <f>IF(E22="Imperial",IF(H22&gt;0,VLOOKUP(H22,CuWtTrans!$A$2:$G$19,6,TRUE)),IF(H22&gt;0,VLOOKUP(H22,CuWtTrans!$A$2:$G$19,5,TRUE)))</f>
        <v>9</v>
      </c>
      <c r="W22" s="128">
        <f t="shared" si="6"/>
        <v>0.45</v>
      </c>
      <c r="X22" s="128">
        <f t="shared" si="6"/>
        <v>0.45</v>
      </c>
      <c r="Y22" s="128">
        <v>5</v>
      </c>
      <c r="Z22" s="128">
        <v>5</v>
      </c>
      <c r="AA22" s="142"/>
      <c r="AC22" s="142"/>
    </row>
    <row r="23" spans="1:29" s="61" customFormat="1">
      <c r="A23" s="83" t="str">
        <f t="shared" si="2"/>
        <v>Foil 0.33oz</v>
      </c>
      <c r="B23" s="84" t="str">
        <f t="shared" si="3"/>
        <v>Foil 0.33oz</v>
      </c>
      <c r="C23" s="53" t="str">
        <f t="shared" si="7"/>
        <v>--</v>
      </c>
      <c r="D23" s="53">
        <v>0</v>
      </c>
      <c r="E23" s="53" t="s">
        <v>449</v>
      </c>
      <c r="F23" s="142" t="s">
        <v>206</v>
      </c>
      <c r="G23" s="61" t="s">
        <v>175</v>
      </c>
      <c r="H23" s="143">
        <v>0.33300000000000002</v>
      </c>
      <c r="I23" s="144">
        <v>0</v>
      </c>
      <c r="J23" s="144">
        <v>0</v>
      </c>
      <c r="K23" s="144">
        <v>0</v>
      </c>
      <c r="L23" s="144">
        <v>0</v>
      </c>
      <c r="M23" s="144"/>
      <c r="N23" s="144"/>
      <c r="O23" s="283">
        <v>1</v>
      </c>
      <c r="P23" s="283">
        <v>1</v>
      </c>
      <c r="Q23" s="53" t="s">
        <v>292</v>
      </c>
      <c r="R23" s="53" t="s">
        <v>465</v>
      </c>
      <c r="S23" s="53" t="str">
        <f t="shared" si="5"/>
        <v>C</v>
      </c>
      <c r="T23" s="61" t="b">
        <v>0</v>
      </c>
      <c r="U23" s="143"/>
      <c r="V23" s="128">
        <f>IF(E23="Imperial",IF(H23&gt;0,VLOOKUP(H23,CuWtTrans!$A$2:$G$19,6,TRUE)),IF(H23&gt;0,VLOOKUP(H23,CuWtTrans!$A$2:$G$19,5,TRUE)))</f>
        <v>12</v>
      </c>
      <c r="W23" s="128">
        <f t="shared" si="6"/>
        <v>0.60000000000000009</v>
      </c>
      <c r="X23" s="128">
        <f t="shared" si="6"/>
        <v>0.60000000000000009</v>
      </c>
      <c r="Y23" s="128">
        <v>5</v>
      </c>
      <c r="Z23" s="128">
        <v>5</v>
      </c>
      <c r="AA23" s="142"/>
      <c r="AC23" s="142"/>
    </row>
    <row r="24" spans="1:29" s="61" customFormat="1">
      <c r="A24" s="83" t="str">
        <f t="shared" si="2"/>
        <v>Foil 0.50oz</v>
      </c>
      <c r="B24" s="84" t="str">
        <f t="shared" si="3"/>
        <v>Foil 0.50oz</v>
      </c>
      <c r="C24" s="53" t="str">
        <f t="shared" si="7"/>
        <v>--</v>
      </c>
      <c r="D24" s="53">
        <v>0</v>
      </c>
      <c r="E24" s="53" t="s">
        <v>449</v>
      </c>
      <c r="F24" s="142" t="s">
        <v>206</v>
      </c>
      <c r="G24" s="61" t="s">
        <v>175</v>
      </c>
      <c r="H24" s="143">
        <v>0.5</v>
      </c>
      <c r="I24" s="144">
        <v>0</v>
      </c>
      <c r="J24" s="144">
        <v>0</v>
      </c>
      <c r="K24" s="144">
        <v>0</v>
      </c>
      <c r="L24" s="144">
        <v>0</v>
      </c>
      <c r="M24" s="144"/>
      <c r="N24" s="144"/>
      <c r="O24" s="283">
        <v>1</v>
      </c>
      <c r="P24" s="283">
        <v>1</v>
      </c>
      <c r="Q24" s="53" t="s">
        <v>292</v>
      </c>
      <c r="R24" s="53" t="s">
        <v>465</v>
      </c>
      <c r="S24" s="53" t="str">
        <f t="shared" si="5"/>
        <v>C</v>
      </c>
      <c r="T24" s="61" t="b">
        <v>0</v>
      </c>
      <c r="U24" s="143"/>
      <c r="V24" s="128">
        <f>IF(E24="Imperial",IF(H24&gt;0,VLOOKUP(H24,CuWtTrans!$A$2:$G$19,6,TRUE)),IF(H24&gt;0,VLOOKUP(H24,CuWtTrans!$A$2:$G$19,5,TRUE)))</f>
        <v>18</v>
      </c>
      <c r="W24" s="128">
        <f t="shared" si="6"/>
        <v>0.9</v>
      </c>
      <c r="X24" s="128">
        <f t="shared" si="6"/>
        <v>0.9</v>
      </c>
      <c r="Y24" s="128">
        <v>5</v>
      </c>
      <c r="Z24" s="128">
        <v>5</v>
      </c>
      <c r="AA24" s="142"/>
      <c r="AC24" s="142"/>
    </row>
    <row r="25" spans="1:29" s="61" customFormat="1">
      <c r="A25" s="83" t="str">
        <f t="shared" si="2"/>
        <v>Foil 1.00oz</v>
      </c>
      <c r="B25" s="84" t="str">
        <f t="shared" si="3"/>
        <v>Foil 1.00oz</v>
      </c>
      <c r="C25" s="53" t="str">
        <f t="shared" si="7"/>
        <v>--</v>
      </c>
      <c r="D25" s="53">
        <v>0</v>
      </c>
      <c r="E25" s="53" t="s">
        <v>449</v>
      </c>
      <c r="F25" s="142" t="s">
        <v>206</v>
      </c>
      <c r="G25" s="61" t="s">
        <v>175</v>
      </c>
      <c r="H25" s="143">
        <v>1</v>
      </c>
      <c r="I25" s="144">
        <v>0</v>
      </c>
      <c r="J25" s="144">
        <v>0</v>
      </c>
      <c r="K25" s="144">
        <v>0</v>
      </c>
      <c r="L25" s="144">
        <v>0</v>
      </c>
      <c r="M25" s="144"/>
      <c r="N25" s="144"/>
      <c r="O25" s="283">
        <v>1</v>
      </c>
      <c r="P25" s="283">
        <v>1</v>
      </c>
      <c r="Q25" s="53" t="s">
        <v>292</v>
      </c>
      <c r="R25" s="53" t="s">
        <v>465</v>
      </c>
      <c r="S25" s="53" t="str">
        <f t="shared" si="5"/>
        <v>C</v>
      </c>
      <c r="T25" s="61" t="b">
        <v>0</v>
      </c>
      <c r="U25" s="143"/>
      <c r="V25" s="128">
        <f>IF(E25="Imperial",IF(H25&gt;0,VLOOKUP(H25,CuWtTrans!$A$2:$G$19,6,TRUE)),IF(H25&gt;0,VLOOKUP(H25,CuWtTrans!$A$2:$G$19,5,TRUE)))</f>
        <v>35</v>
      </c>
      <c r="W25" s="128">
        <f t="shared" si="6"/>
        <v>1.75</v>
      </c>
      <c r="X25" s="128">
        <f t="shared" si="6"/>
        <v>1.75</v>
      </c>
      <c r="Y25" s="128">
        <v>5</v>
      </c>
      <c r="Z25" s="128">
        <v>5</v>
      </c>
      <c r="AA25" s="142"/>
      <c r="AC25" s="142"/>
    </row>
    <row r="26" spans="1:29" s="61" customFormat="1">
      <c r="A26" s="83" t="str">
        <f t="shared" si="2"/>
        <v>Foil 0.25oz</v>
      </c>
      <c r="B26" s="84" t="str">
        <f t="shared" si="3"/>
        <v>Foil 0.25oz</v>
      </c>
      <c r="C26" s="53" t="str">
        <f t="shared" si="7"/>
        <v>--</v>
      </c>
      <c r="D26" s="53">
        <v>0</v>
      </c>
      <c r="E26" s="53" t="s">
        <v>449</v>
      </c>
      <c r="F26" s="142" t="s">
        <v>206</v>
      </c>
      <c r="G26" s="61" t="s">
        <v>175</v>
      </c>
      <c r="H26" s="143">
        <v>0.25</v>
      </c>
      <c r="I26" s="144">
        <v>0</v>
      </c>
      <c r="J26" s="144">
        <v>0</v>
      </c>
      <c r="K26" s="144">
        <v>0</v>
      </c>
      <c r="L26" s="144">
        <v>0</v>
      </c>
      <c r="M26" s="144"/>
      <c r="N26" s="144"/>
      <c r="O26" s="283">
        <v>1</v>
      </c>
      <c r="P26" s="283">
        <v>1</v>
      </c>
      <c r="Q26" s="53" t="s">
        <v>292</v>
      </c>
      <c r="R26" s="53" t="s">
        <v>219</v>
      </c>
      <c r="S26" s="53" t="str">
        <f t="shared" si="5"/>
        <v>C</v>
      </c>
      <c r="T26" s="61" t="b">
        <v>0</v>
      </c>
      <c r="U26" s="143"/>
      <c r="V26" s="128">
        <f>IF(E26="Imperial",IF(H26&gt;0,VLOOKUP(H26,CuWtTrans!$A$2:$G$19,6,TRUE)),IF(H26&gt;0,VLOOKUP(H26,CuWtTrans!$A$2:$G$19,5,TRUE)))</f>
        <v>9</v>
      </c>
      <c r="W26" s="128">
        <f t="shared" si="6"/>
        <v>0.45</v>
      </c>
      <c r="X26" s="128">
        <f t="shared" si="6"/>
        <v>0.45</v>
      </c>
      <c r="Y26" s="128">
        <v>2.5</v>
      </c>
      <c r="Z26" s="128">
        <v>2.5</v>
      </c>
      <c r="AA26" s="142"/>
      <c r="AC26" s="142"/>
    </row>
    <row r="27" spans="1:29" s="61" customFormat="1">
      <c r="A27" s="83" t="str">
        <f t="shared" si="2"/>
        <v>Foil 0.33oz</v>
      </c>
      <c r="B27" s="84" t="str">
        <f t="shared" si="3"/>
        <v>Foil 0.33oz</v>
      </c>
      <c r="C27" s="53" t="str">
        <f t="shared" si="7"/>
        <v>--</v>
      </c>
      <c r="D27" s="53">
        <v>0</v>
      </c>
      <c r="E27" s="53" t="s">
        <v>449</v>
      </c>
      <c r="F27" s="142" t="s">
        <v>206</v>
      </c>
      <c r="G27" s="61" t="s">
        <v>175</v>
      </c>
      <c r="H27" s="143">
        <v>0.33300000000000002</v>
      </c>
      <c r="I27" s="144">
        <v>0</v>
      </c>
      <c r="J27" s="144">
        <v>0</v>
      </c>
      <c r="K27" s="144">
        <v>0</v>
      </c>
      <c r="L27" s="144">
        <v>0</v>
      </c>
      <c r="M27" s="144"/>
      <c r="N27" s="144"/>
      <c r="O27" s="283">
        <v>1</v>
      </c>
      <c r="P27" s="283">
        <v>1</v>
      </c>
      <c r="Q27" s="53" t="s">
        <v>292</v>
      </c>
      <c r="R27" s="53" t="s">
        <v>219</v>
      </c>
      <c r="S27" s="53" t="str">
        <f t="shared" si="5"/>
        <v>C</v>
      </c>
      <c r="T27" s="61" t="b">
        <v>0</v>
      </c>
      <c r="U27" s="143"/>
      <c r="V27" s="128">
        <f>IF(E27="Imperial",IF(H27&gt;0,VLOOKUP(H27,CuWtTrans!$A$2:$G$19,6,TRUE)),IF(H27&gt;0,VLOOKUP(H27,CuWtTrans!$A$2:$G$19,5,TRUE)))</f>
        <v>12</v>
      </c>
      <c r="W27" s="128">
        <f t="shared" si="6"/>
        <v>0.60000000000000009</v>
      </c>
      <c r="X27" s="128">
        <f t="shared" si="6"/>
        <v>0.60000000000000009</v>
      </c>
      <c r="Y27" s="128">
        <v>2.5</v>
      </c>
      <c r="Z27" s="128">
        <v>2.5</v>
      </c>
      <c r="AA27" s="142"/>
      <c r="AC27" s="142"/>
    </row>
    <row r="28" spans="1:29" s="61" customFormat="1">
      <c r="A28" s="83" t="str">
        <f t="shared" si="2"/>
        <v>Foil 0.50oz</v>
      </c>
      <c r="B28" s="84" t="str">
        <f t="shared" si="3"/>
        <v>Foil 0.50oz</v>
      </c>
      <c r="C28" s="53" t="str">
        <f t="shared" si="7"/>
        <v>--</v>
      </c>
      <c r="D28" s="53">
        <v>0</v>
      </c>
      <c r="E28" s="53" t="s">
        <v>449</v>
      </c>
      <c r="F28" s="142" t="s">
        <v>206</v>
      </c>
      <c r="G28" s="61" t="s">
        <v>175</v>
      </c>
      <c r="H28" s="143">
        <v>0.5</v>
      </c>
      <c r="I28" s="144">
        <v>0</v>
      </c>
      <c r="J28" s="144">
        <v>0</v>
      </c>
      <c r="K28" s="144">
        <v>0</v>
      </c>
      <c r="L28" s="144">
        <v>0</v>
      </c>
      <c r="M28" s="144"/>
      <c r="N28" s="144"/>
      <c r="O28" s="283">
        <v>1</v>
      </c>
      <c r="P28" s="283">
        <v>1</v>
      </c>
      <c r="Q28" s="53" t="s">
        <v>292</v>
      </c>
      <c r="R28" s="53" t="s">
        <v>219</v>
      </c>
      <c r="S28" s="53" t="str">
        <f t="shared" si="5"/>
        <v>C</v>
      </c>
      <c r="T28" s="61" t="b">
        <v>0</v>
      </c>
      <c r="U28" s="143"/>
      <c r="V28" s="128">
        <f>IF(E28="Imperial",IF(H28&gt;0,VLOOKUP(H28,CuWtTrans!$A$2:$G$19,6,TRUE)),IF(H28&gt;0,VLOOKUP(H28,CuWtTrans!$A$2:$G$19,5,TRUE)))</f>
        <v>18</v>
      </c>
      <c r="W28" s="128">
        <f t="shared" si="6"/>
        <v>0.9</v>
      </c>
      <c r="X28" s="128">
        <f t="shared" si="6"/>
        <v>0.9</v>
      </c>
      <c r="Y28" s="128">
        <v>2.5</v>
      </c>
      <c r="Z28" s="128">
        <v>2.5</v>
      </c>
      <c r="AA28" s="142"/>
      <c r="AC28" s="142"/>
    </row>
    <row r="29" spans="1:29" s="61" customFormat="1">
      <c r="A29" s="83" t="str">
        <f t="shared" si="2"/>
        <v>Foil 1.00oz</v>
      </c>
      <c r="B29" s="84" t="str">
        <f t="shared" si="3"/>
        <v>Foil 1.00oz</v>
      </c>
      <c r="C29" s="53" t="str">
        <f t="shared" si="7"/>
        <v>--</v>
      </c>
      <c r="D29" s="53">
        <v>0</v>
      </c>
      <c r="E29" s="53" t="s">
        <v>449</v>
      </c>
      <c r="F29" s="142" t="s">
        <v>206</v>
      </c>
      <c r="G29" s="61" t="s">
        <v>175</v>
      </c>
      <c r="H29" s="143">
        <v>1</v>
      </c>
      <c r="I29" s="144">
        <v>0</v>
      </c>
      <c r="J29" s="144">
        <v>0</v>
      </c>
      <c r="K29" s="144">
        <v>0</v>
      </c>
      <c r="L29" s="144">
        <v>0</v>
      </c>
      <c r="M29" s="144"/>
      <c r="N29" s="144"/>
      <c r="O29" s="283">
        <v>1</v>
      </c>
      <c r="P29" s="283">
        <v>1</v>
      </c>
      <c r="Q29" s="53" t="s">
        <v>292</v>
      </c>
      <c r="R29" s="53" t="s">
        <v>219</v>
      </c>
      <c r="S29" s="53" t="str">
        <f t="shared" si="5"/>
        <v>C</v>
      </c>
      <c r="T29" s="61" t="b">
        <v>0</v>
      </c>
      <c r="U29" s="143"/>
      <c r="V29" s="128">
        <f>IF(E29="Imperial",IF(H29&gt;0,VLOOKUP(H29,CuWtTrans!$A$2:$G$19,6,TRUE)),IF(H29&gt;0,VLOOKUP(H29,CuWtTrans!$A$2:$G$19,5,TRUE)))</f>
        <v>35</v>
      </c>
      <c r="W29" s="128">
        <f t="shared" si="6"/>
        <v>1.75</v>
      </c>
      <c r="X29" s="128">
        <f t="shared" si="6"/>
        <v>1.75</v>
      </c>
      <c r="Y29" s="128">
        <v>2.5</v>
      </c>
      <c r="Z29" s="128">
        <v>2.5</v>
      </c>
      <c r="AA29" s="142"/>
      <c r="AC29" s="142"/>
    </row>
  </sheetData>
  <conditionalFormatting sqref="C1">
    <cfRule type="cellIs" dxfId="153" priority="27" stopIfTrue="1" operator="equal">
      <formula>"Unknown"</formula>
    </cfRule>
  </conditionalFormatting>
  <conditionalFormatting sqref="F1:H1">
    <cfRule type="cellIs" dxfId="152" priority="15" stopIfTrue="1" operator="equal">
      <formula>"TBA"</formula>
    </cfRule>
    <cfRule type="cellIs" dxfId="151" priority="16" stopIfTrue="1" operator="equal">
      <formula>"Unknown"</formula>
    </cfRule>
  </conditionalFormatting>
  <conditionalFormatting sqref="I1:J1">
    <cfRule type="cellIs" dxfId="150" priority="13" stopIfTrue="1" operator="equal">
      <formula>"TBA"</formula>
    </cfRule>
    <cfRule type="cellIs" dxfId="149" priority="14" stopIfTrue="1" operator="equal">
      <formula>"Unknown"</formula>
    </cfRule>
  </conditionalFormatting>
  <conditionalFormatting sqref="U1">
    <cfRule type="cellIs" dxfId="148" priority="11" stopIfTrue="1" operator="equal">
      <formula>"TBA"</formula>
    </cfRule>
    <cfRule type="cellIs" dxfId="147" priority="12" stopIfTrue="1" operator="equal">
      <formula>"Unknown"</formula>
    </cfRule>
  </conditionalFormatting>
  <conditionalFormatting sqref="T1">
    <cfRule type="cellIs" dxfId="146" priority="9" stopIfTrue="1" operator="equal">
      <formula>"TBA"</formula>
    </cfRule>
    <cfRule type="cellIs" dxfId="145" priority="10" stopIfTrue="1" operator="equal">
      <formula>"Unknown"</formula>
    </cfRule>
  </conditionalFormatting>
  <conditionalFormatting sqref="Y1:AC1">
    <cfRule type="cellIs" dxfId="144" priority="7" stopIfTrue="1" operator="equal">
      <formula>"TBA"</formula>
    </cfRule>
    <cfRule type="cellIs" dxfId="143" priority="8" stopIfTrue="1" operator="equal">
      <formula>"Unknown"</formula>
    </cfRule>
  </conditionalFormatting>
  <conditionalFormatting sqref="K1:N1">
    <cfRule type="cellIs" dxfId="142" priority="1" stopIfTrue="1" operator="equal">
      <formula>"TBA"</formula>
    </cfRule>
    <cfRule type="cellIs" dxfId="141" priority="2" stopIfTrue="1" operator="equal">
      <formula>"Unknown"</formula>
    </cfRule>
  </conditionalFormatting>
  <dataValidations count="4">
    <dataValidation type="list" allowBlank="1" showInputMessage="1" showErrorMessage="1" sqref="E8:E29 E2:E6">
      <formula1>"Imperial,Metric"</formula1>
    </dataValidation>
    <dataValidation type="list" allowBlank="1" showInputMessage="1" showErrorMessage="1" sqref="Q2:Q6">
      <formula1>$V$4:$V$11</formula1>
    </dataValidation>
    <dataValidation type="list" allowBlank="1" showInputMessage="1" showErrorMessage="1" sqref="R2:R6">
      <formula1>$X$4:$X$10</formula1>
    </dataValidation>
    <dataValidation type="list" allowBlank="1" showInputMessage="1" showErrorMessage="1" sqref="F2:F6">
      <formula1>$P$4:$P$19</formula1>
    </dataValidation>
  </dataValidations>
  <pageMargins left="0.75" right="0.75" top="1" bottom="1" header="0.5" footer="0.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Enums!$T$4:$T$11</xm:f>
          </x14:formula1>
          <xm:sqref>Q8:Q29</xm:sqref>
        </x14:dataValidation>
        <x14:dataValidation type="list" allowBlank="1" showInputMessage="1" showErrorMessage="1">
          <x14:formula1>
            <xm:f>Enums!$V$4:$V$10</xm:f>
          </x14:formula1>
          <xm:sqref>R8:R29</xm:sqref>
        </x14:dataValidation>
        <x14:dataValidation type="list" allowBlank="1" showInputMessage="1" showErrorMessage="1">
          <x14:formula1>
            <xm:f>Enums!$N$4:$N$19</xm:f>
          </x14:formula1>
          <xm:sqref>F8:F29</xm:sqref>
        </x14:dataValidation>
        <x14:dataValidation type="list" allowBlank="1" showInputMessage="1" showErrorMessage="1">
          <x14:formula1>
            <xm:f>Enums!$L$4:$L$24</xm:f>
          </x14:formula1>
          <xm:sqref>G8:G29</xm:sqref>
        </x14:dataValidation>
        <x14:dataValidation type="list" allowBlank="1" showInputMessage="1" showErrorMessage="1">
          <x14:formula1>
            <xm:f>Enums!$L$4:$L$24</xm:f>
          </x14:formula1>
          <xm:sqref>G2:G6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R3"/>
  <sheetViews>
    <sheetView zoomScaleNormal="100" workbookViewId="0">
      <selection activeCell="I28" sqref="I28"/>
    </sheetView>
  </sheetViews>
  <sheetFormatPr defaultColWidth="11.42578125" defaultRowHeight="13.5"/>
  <cols>
    <col min="1" max="1" width="42.140625" style="52" bestFit="1" customWidth="1"/>
    <col min="2" max="2" width="20.7109375" style="53" bestFit="1" customWidth="1"/>
    <col min="3" max="3" width="6.7109375" style="52" bestFit="1" customWidth="1"/>
    <col min="4" max="4" width="9" style="52" bestFit="1" customWidth="1"/>
    <col min="5" max="5" width="10.140625" style="52" bestFit="1" customWidth="1"/>
    <col min="6" max="6" width="7.85546875" style="53" bestFit="1" customWidth="1"/>
    <col min="7" max="7" width="11.28515625" style="53" bestFit="1" customWidth="1"/>
    <col min="8" max="8" width="14.7109375" style="53" customWidth="1"/>
    <col min="9" max="9" width="9" style="54" bestFit="1" customWidth="1"/>
    <col min="10" max="10" width="9" style="53" customWidth="1"/>
    <col min="11" max="12" width="14.85546875" style="53" bestFit="1" customWidth="1"/>
    <col min="13" max="13" width="15.28515625" style="53" customWidth="1"/>
    <col min="14" max="14" width="13.7109375" style="55" bestFit="1" customWidth="1"/>
    <col min="15" max="15" width="14.85546875" style="53" bestFit="1" customWidth="1"/>
    <col min="16" max="16" width="16" style="53" bestFit="1" customWidth="1"/>
    <col min="17" max="17" width="13.7109375" style="114" bestFit="1" customWidth="1"/>
    <col min="18" max="18" width="16" style="114" bestFit="1" customWidth="1"/>
    <col min="19" max="19" width="11.28515625" style="53" bestFit="1" customWidth="1"/>
    <col min="20" max="20" width="18.7109375" style="53" customWidth="1"/>
    <col min="21" max="21" width="9.5703125" style="53" bestFit="1" customWidth="1"/>
    <col min="22" max="22" width="11.85546875" style="53" bestFit="1" customWidth="1"/>
    <col min="23" max="24" width="10.7109375" style="53" bestFit="1" customWidth="1"/>
    <col min="25" max="26" width="16" style="53" bestFit="1" customWidth="1"/>
    <col min="27" max="28" width="19.5703125" style="53" bestFit="1" customWidth="1"/>
    <col min="29" max="29" width="22" style="114" bestFit="1" customWidth="1"/>
    <col min="30" max="30" width="16" style="53" bestFit="1" customWidth="1"/>
    <col min="31" max="31" width="17.28515625" style="53" bestFit="1" customWidth="1"/>
    <col min="32" max="32" width="13.7109375" style="54" bestFit="1" customWidth="1"/>
    <col min="33" max="33" width="13.7109375" style="53" bestFit="1" customWidth="1"/>
    <col min="34" max="34" width="12.42578125" style="53" bestFit="1" customWidth="1"/>
    <col min="35" max="35" width="19.5703125" style="113" bestFit="1" customWidth="1"/>
    <col min="36" max="36" width="10.140625" style="53" bestFit="1" customWidth="1"/>
    <col min="37" max="37" width="16" style="53" bestFit="1" customWidth="1"/>
    <col min="38" max="38" width="13.7109375" style="53" bestFit="1" customWidth="1"/>
    <col min="39" max="39" width="13.7109375" style="54" bestFit="1" customWidth="1"/>
    <col min="40" max="40" width="14.85546875" style="53" bestFit="1" customWidth="1"/>
    <col min="41" max="41" width="17.28515625" style="113" bestFit="1" customWidth="1"/>
    <col min="42" max="42" width="10.140625" style="113" bestFit="1" customWidth="1"/>
    <col min="43" max="43" width="14.85546875" style="53" bestFit="1" customWidth="1"/>
    <col min="44" max="44" width="23.140625" style="53" bestFit="1" customWidth="1"/>
    <col min="45" max="16384" width="11.42578125" style="53"/>
  </cols>
  <sheetData>
    <row r="1" spans="1:44" s="86" customFormat="1" ht="27">
      <c r="A1" s="162" t="s">
        <v>50</v>
      </c>
      <c r="B1" s="162" t="s">
        <v>21</v>
      </c>
      <c r="C1" s="141" t="s">
        <v>147</v>
      </c>
      <c r="D1" s="152" t="s">
        <v>412</v>
      </c>
      <c r="E1" s="152" t="s">
        <v>360</v>
      </c>
      <c r="F1" s="151" t="s">
        <v>30</v>
      </c>
      <c r="G1" s="151" t="s">
        <v>20</v>
      </c>
      <c r="H1" s="151" t="s">
        <v>149</v>
      </c>
      <c r="I1" s="151" t="s">
        <v>56</v>
      </c>
      <c r="J1" s="151" t="s">
        <v>60</v>
      </c>
      <c r="K1" s="151" t="s">
        <v>26</v>
      </c>
      <c r="L1" s="151" t="s">
        <v>27</v>
      </c>
      <c r="M1" s="151" t="s">
        <v>61</v>
      </c>
      <c r="N1" s="151" t="s">
        <v>57</v>
      </c>
      <c r="O1" s="151" t="s">
        <v>155</v>
      </c>
      <c r="P1" s="151" t="s">
        <v>153</v>
      </c>
      <c r="Q1" s="152" t="s">
        <v>58</v>
      </c>
      <c r="R1" s="152" t="s">
        <v>157</v>
      </c>
      <c r="S1" s="152" t="s">
        <v>372</v>
      </c>
      <c r="T1" s="152" t="s">
        <v>297</v>
      </c>
      <c r="U1" s="152" t="s">
        <v>267</v>
      </c>
      <c r="V1" s="152" t="s">
        <v>268</v>
      </c>
      <c r="W1" s="152" t="s">
        <v>269</v>
      </c>
      <c r="X1" s="152" t="s">
        <v>270</v>
      </c>
      <c r="Y1" s="152" t="s">
        <v>456</v>
      </c>
      <c r="Z1" s="152" t="s">
        <v>457</v>
      </c>
      <c r="AA1" s="152" t="s">
        <v>162</v>
      </c>
      <c r="AB1" s="152" t="s">
        <v>163</v>
      </c>
      <c r="AC1" s="152" t="s">
        <v>164</v>
      </c>
      <c r="AD1" s="152" t="s">
        <v>150</v>
      </c>
      <c r="AE1" s="152" t="s">
        <v>154</v>
      </c>
      <c r="AF1" s="152" t="s">
        <v>152</v>
      </c>
      <c r="AG1" s="152" t="s">
        <v>156</v>
      </c>
      <c r="AH1" s="152" t="s">
        <v>44</v>
      </c>
      <c r="AI1" s="152" t="s">
        <v>45</v>
      </c>
      <c r="AJ1" s="155" t="s">
        <v>25</v>
      </c>
      <c r="AK1" s="147" t="s">
        <v>458</v>
      </c>
      <c r="AL1" s="147" t="s">
        <v>355</v>
      </c>
      <c r="AM1" s="147" t="s">
        <v>55</v>
      </c>
      <c r="AN1" s="147" t="s">
        <v>59</v>
      </c>
      <c r="AO1" s="147" t="s">
        <v>151</v>
      </c>
      <c r="AP1" s="155" t="s">
        <v>22</v>
      </c>
      <c r="AQ1" s="155" t="s">
        <v>23</v>
      </c>
      <c r="AR1" s="155" t="s">
        <v>24</v>
      </c>
    </row>
    <row r="2" spans="1:44">
      <c r="A2" s="52" t="str">
        <f>F2&amp;" "&amp;S2&amp;" "&amp;IF(I2&gt;0,VLOOKUP(I2,CuWtTrans!$A$2:$G$16,2,TRUE) &amp; "OZ/","") &amp; B2 &amp;IF(J2&gt;0,"/" &amp; VLOOKUP(J2,CuWtTrans!$A$2:$G$16,2,TRUE) &amp; "OZ","") &amp;IF(D2&gt;0," "&amp;FIXED(K2,0)&amp;"X"&amp;FIXED(L2,0),"") &amp;IF(Y2&lt;&gt;"&lt;Not Defined&gt;"," "&amp;Y2,"") &amp;IF(Z2&lt;&gt;"&lt;Not Defined&gt;"," "&amp;Z2,"")</f>
        <v>DUPONT FR 1OZ/0.5AD/1.0PI/0.5AD/1OZ</v>
      </c>
      <c r="B2" s="53" t="str">
        <f t="shared" ref="B2:B3" si="0">IF(N2&gt;0,FIXED(N2,1) &amp; "AD/","") &amp; FIXED(M2,1) &amp; "PI" &amp; IF(Q2&gt;0,"/" &amp; FIXED(Q2,1) &amp; "AD","")</f>
        <v>0.5AD/1.0PI/0.5AD</v>
      </c>
      <c r="C2" s="53" t="str">
        <f>IF(OR(A2=A3,A2=A1),"Dupe","--")</f>
        <v>Dupe</v>
      </c>
      <c r="D2" s="53">
        <v>0</v>
      </c>
      <c r="E2" s="53" t="s">
        <v>449</v>
      </c>
      <c r="F2" s="53" t="s">
        <v>158</v>
      </c>
      <c r="G2" s="53" t="s">
        <v>295</v>
      </c>
      <c r="H2" s="53" t="str">
        <f t="shared" ref="H2:H3" si="1">IF(J2=0,"Single Side","Double Side")</f>
        <v>Double Side</v>
      </c>
      <c r="I2" s="54">
        <v>1</v>
      </c>
      <c r="J2" s="54">
        <v>1</v>
      </c>
      <c r="K2" s="53">
        <v>250</v>
      </c>
      <c r="L2" s="53">
        <v>0</v>
      </c>
      <c r="M2" s="54">
        <v>1</v>
      </c>
      <c r="N2" s="54">
        <v>0.5</v>
      </c>
      <c r="O2" s="54">
        <v>3.2</v>
      </c>
      <c r="P2" s="54">
        <f t="shared" ref="P2:P3" si="2">O2</f>
        <v>3.2</v>
      </c>
      <c r="Q2" s="54">
        <f t="shared" ref="Q2:Q3" si="3">IF(H2="Double Side",N2,0)</f>
        <v>0.5</v>
      </c>
      <c r="R2" s="54">
        <f t="shared" ref="R2:R3" si="4">IF(H2="Double Side",P2,0)</f>
        <v>3.2</v>
      </c>
      <c r="S2" s="53" t="s">
        <v>296</v>
      </c>
      <c r="T2" s="53" t="s">
        <v>299</v>
      </c>
      <c r="U2" s="53" t="b">
        <v>0</v>
      </c>
      <c r="V2" s="53" t="b">
        <v>0</v>
      </c>
      <c r="W2" s="53" t="b">
        <v>0</v>
      </c>
      <c r="X2" s="53" t="b">
        <v>0</v>
      </c>
      <c r="Y2" s="53" t="s">
        <v>208</v>
      </c>
      <c r="Z2" s="53" t="s">
        <v>208</v>
      </c>
      <c r="AA2" s="54">
        <v>0</v>
      </c>
      <c r="AB2" s="54">
        <f t="shared" ref="AB2:AB3" si="5">AA2</f>
        <v>0</v>
      </c>
      <c r="AC2" s="54">
        <f>IF(H2="Double Side",AB2,0)</f>
        <v>0</v>
      </c>
      <c r="AD2" s="53" t="s">
        <v>165</v>
      </c>
      <c r="AE2" s="53" t="s">
        <v>71</v>
      </c>
      <c r="AF2" s="53" t="s">
        <v>161</v>
      </c>
      <c r="AG2" s="53" t="s">
        <v>161</v>
      </c>
      <c r="AH2" s="53">
        <v>0</v>
      </c>
      <c r="AI2" s="113">
        <v>1</v>
      </c>
      <c r="AJ2" s="115" t="s">
        <v>74</v>
      </c>
      <c r="AK2" s="53" t="str">
        <f t="shared" ref="AK2:AK3" si="6">IF(Y2="ED-HTE","H",IF(Y2="ED-RTF","R",IF(Y2="ED-DST","P",IF(Y2="RD","B",IF(Y2="ED","C","&lt;Not Defined&gt;")))))</f>
        <v>&lt;Not Defined&gt;</v>
      </c>
      <c r="AL2" s="54">
        <f>M2+N2+Q2</f>
        <v>2</v>
      </c>
      <c r="AM2" s="54">
        <f>IF(E2="Imperial",IF(I2&gt;0,VLOOKUP(I2,CuWtTrans!$A$2:$G$19,6,TRUE),0),IF(I2&gt;0,VLOOKUP(I2,CuWtTrans!$A$2:$G$19,5,TRUE),0))</f>
        <v>35</v>
      </c>
      <c r="AN2" s="54">
        <f>IF(E2="Imperial",IF(J2&gt;0,VLOOKUP(J2,CuWtTrans!$A$2:$G$19,6,TRUE),0),IF(J2&gt;0,VLOOKUP(J2,CuWtTrans!$A$2:$G$19,5,TRUE),0))</f>
        <v>35</v>
      </c>
      <c r="AO2" s="113" t="str">
        <f>IF(N2&gt;0,"Acrylic","Adhesiveless")</f>
        <v>Acrylic</v>
      </c>
    </row>
    <row r="3" spans="1:44">
      <c r="A3" s="52" t="str">
        <f>F3&amp;" "&amp;S3&amp;" "&amp;IF(I3&gt;0,VLOOKUP(I3,CuWtTrans!$A$2:$G$16,2,TRUE) &amp; "OZ/","") &amp; B3 &amp;IF(J3&gt;0,"/" &amp; VLOOKUP(J3,CuWtTrans!$A$2:$G$16,2,TRUE) &amp; "OZ","") &amp;IF(D3&gt;0," "&amp;FIXED(K3,0)&amp;"X"&amp;FIXED(L3,0),"") &amp;IF(Y3&lt;&gt;"&lt;Not Defined&gt;"," "&amp;Y3,"") &amp;IF(Z3&lt;&gt;"&lt;Not Defined&gt;"," "&amp;Z3,"")</f>
        <v>DUPONT FR 1OZ/0.5AD/1.0PI/0.5AD/1OZ</v>
      </c>
      <c r="B3" s="53" t="str">
        <f t="shared" si="0"/>
        <v>0.5AD/1.0PI/0.5AD</v>
      </c>
      <c r="C3" s="53" t="str">
        <f>IF(OR(A3=A4,A3=A2),"Dupe","--")</f>
        <v>Dupe</v>
      </c>
      <c r="D3" s="53">
        <v>0</v>
      </c>
      <c r="E3" s="53" t="s">
        <v>449</v>
      </c>
      <c r="F3" s="53" t="s">
        <v>158</v>
      </c>
      <c r="G3" s="53" t="s">
        <v>295</v>
      </c>
      <c r="H3" s="53" t="str">
        <f t="shared" si="1"/>
        <v>Double Side</v>
      </c>
      <c r="I3" s="54">
        <v>1</v>
      </c>
      <c r="J3" s="54">
        <v>1</v>
      </c>
      <c r="K3" s="53">
        <v>250</v>
      </c>
      <c r="L3" s="53">
        <v>0</v>
      </c>
      <c r="M3" s="54">
        <v>1</v>
      </c>
      <c r="N3" s="54">
        <v>0.5</v>
      </c>
      <c r="O3" s="54">
        <v>3.2</v>
      </c>
      <c r="P3" s="54">
        <f t="shared" si="2"/>
        <v>3.2</v>
      </c>
      <c r="Q3" s="54">
        <f t="shared" si="3"/>
        <v>0.5</v>
      </c>
      <c r="R3" s="54">
        <f t="shared" si="4"/>
        <v>3.2</v>
      </c>
      <c r="S3" s="53" t="s">
        <v>296</v>
      </c>
      <c r="T3" s="53" t="s">
        <v>298</v>
      </c>
      <c r="U3" s="53" t="b">
        <v>0</v>
      </c>
      <c r="V3" s="53" t="b">
        <v>0</v>
      </c>
      <c r="W3" s="53" t="b">
        <v>0</v>
      </c>
      <c r="X3" s="53" t="b">
        <v>0</v>
      </c>
      <c r="Y3" s="53" t="s">
        <v>208</v>
      </c>
      <c r="Z3" s="53" t="s">
        <v>208</v>
      </c>
      <c r="AA3" s="54">
        <v>0</v>
      </c>
      <c r="AB3" s="54">
        <f t="shared" si="5"/>
        <v>0</v>
      </c>
      <c r="AC3" s="54">
        <f>IF(H3="Double Side",AB3,0)</f>
        <v>0</v>
      </c>
      <c r="AD3" s="53" t="s">
        <v>165</v>
      </c>
      <c r="AE3" s="53" t="s">
        <v>71</v>
      </c>
      <c r="AF3" s="53" t="s">
        <v>161</v>
      </c>
      <c r="AG3" s="53" t="s">
        <v>161</v>
      </c>
      <c r="AH3" s="53">
        <v>0</v>
      </c>
      <c r="AI3" s="113">
        <v>1</v>
      </c>
      <c r="AJ3" s="115" t="s">
        <v>74</v>
      </c>
      <c r="AK3" s="53" t="str">
        <f t="shared" si="6"/>
        <v>&lt;Not Defined&gt;</v>
      </c>
      <c r="AL3" s="54">
        <f>M3+N3+Q3</f>
        <v>2</v>
      </c>
      <c r="AM3" s="54">
        <f>IF(E3="Imperial",IF(I3&gt;0,VLOOKUP(I3,CuWtTrans!$A$2:$G$19,6,TRUE),0),IF(I3&gt;0,VLOOKUP(I3,CuWtTrans!$A$2:$G$19,5,TRUE),0))</f>
        <v>35</v>
      </c>
      <c r="AN3" s="54">
        <f>IF(E3="Imperial",IF(J3&gt;0,VLOOKUP(J3,CuWtTrans!$A$2:$G$19,6,TRUE),0),IF(J3&gt;0,VLOOKUP(J3,CuWtTrans!$A$2:$G$19,5,TRUE),0))</f>
        <v>35</v>
      </c>
      <c r="AO3" s="113" t="str">
        <f>IF(N3&gt;0,"Acrylic","Adhesiveless")</f>
        <v>Acrylic</v>
      </c>
    </row>
  </sheetData>
  <conditionalFormatting sqref="F1:G1">
    <cfRule type="cellIs" dxfId="140" priority="19" stopIfTrue="1" operator="equal">
      <formula>"TBA"</formula>
    </cfRule>
    <cfRule type="cellIs" dxfId="139" priority="20" stopIfTrue="1" operator="equal">
      <formula>"Unknown"</formula>
    </cfRule>
  </conditionalFormatting>
  <conditionalFormatting sqref="I1:J1 M1:P1">
    <cfRule type="cellIs" dxfId="138" priority="17" stopIfTrue="1" operator="equal">
      <formula>"TBA"</formula>
    </cfRule>
    <cfRule type="cellIs" dxfId="137" priority="18" stopIfTrue="1" operator="equal">
      <formula>"Unknown"</formula>
    </cfRule>
  </conditionalFormatting>
  <conditionalFormatting sqref="C1">
    <cfRule type="cellIs" dxfId="136" priority="21" stopIfTrue="1" operator="equal">
      <formula>"Unknown"</formula>
    </cfRule>
  </conditionalFormatting>
  <conditionalFormatting sqref="H1">
    <cfRule type="cellIs" dxfId="135" priority="15" stopIfTrue="1" operator="equal">
      <formula>"TBA"</formula>
    </cfRule>
    <cfRule type="cellIs" dxfId="134" priority="16" stopIfTrue="1" operator="equal">
      <formula>"Unknown"</formula>
    </cfRule>
  </conditionalFormatting>
  <conditionalFormatting sqref="K1:L1">
    <cfRule type="cellIs" dxfId="133" priority="13" stopIfTrue="1" operator="equal">
      <formula>"TBA"</formula>
    </cfRule>
    <cfRule type="cellIs" dxfId="132" priority="14" stopIfTrue="1" operator="equal">
      <formula>"Unknown"</formula>
    </cfRule>
  </conditionalFormatting>
  <conditionalFormatting sqref="AJ1">
    <cfRule type="cellIs" dxfId="131" priority="5" stopIfTrue="1" operator="equal">
      <formula>"TBA"</formula>
    </cfRule>
    <cfRule type="cellIs" dxfId="130" priority="6" stopIfTrue="1" operator="equal">
      <formula>"Unknown"</formula>
    </cfRule>
  </conditionalFormatting>
  <conditionalFormatting sqref="AP1:AR1">
    <cfRule type="cellIs" dxfId="129" priority="3" stopIfTrue="1" operator="equal">
      <formula>"TBA"</formula>
    </cfRule>
    <cfRule type="cellIs" dxfId="128" priority="4" stopIfTrue="1" operator="equal">
      <formula>"Unknown"</formula>
    </cfRule>
  </conditionalFormatting>
  <dataValidations count="5">
    <dataValidation type="list" allowBlank="1" showErrorMessage="1" sqref="AD2:AD3">
      <formula1>"Standard,Treated Copper"</formula1>
      <formula2>0</formula2>
    </dataValidation>
    <dataValidation type="list" allowBlank="1" showErrorMessage="1" sqref="H2:H3">
      <formula1>"Double Side,Single Side"</formula1>
      <formula2>0</formula2>
    </dataValidation>
    <dataValidation type="list" allowBlank="1" showErrorMessage="1" sqref="AO2:AO3">
      <formula1>"Acrylic,Adhesiveless"</formula1>
      <formula2>0</formula2>
    </dataValidation>
    <dataValidation type="list" allowBlank="1" showInputMessage="1" showErrorMessage="1" sqref="E2:E3">
      <formula1>"Imperial,Metric"</formula1>
    </dataValidation>
    <dataValidation type="list" allowBlank="1" showErrorMessage="1" sqref="AJ2:AJ16">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Enums!$T$4:$T$11</xm:f>
          </x14:formula1>
          <xm:sqref>Y2:Y3</xm:sqref>
        </x14:dataValidation>
        <x14:dataValidation type="list" allowBlank="1" showInputMessage="1" showErrorMessage="1">
          <x14:formula1>
            <xm:f>Enums!$V$4:$V$10</xm:f>
          </x14:formula1>
          <xm:sqref>Z2:Z3</xm:sqref>
        </x14:dataValidation>
        <x14:dataValidation type="list" allowBlank="1" showErrorMessage="1">
          <x14:formula1>
            <xm:f>Enums!$H$4:$H$6</xm:f>
          </x14:formula1>
          <xm:sqref>AE2:AE3</xm:sqref>
        </x14:dataValidation>
        <x14:dataValidation type="list" allowBlank="1" showErrorMessage="1">
          <x14:formula1>
            <xm:f>Enums!$D$4:$D$9</xm:f>
          </x14:formula1>
          <xm:sqref>AF2:AG3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4"/>
  <sheetViews>
    <sheetView zoomScaleNormal="100" workbookViewId="0">
      <selection activeCell="H35" sqref="H35"/>
    </sheetView>
  </sheetViews>
  <sheetFormatPr defaultColWidth="8.85546875" defaultRowHeight="13.5"/>
  <cols>
    <col min="1" max="1" width="33.28515625" style="53" customWidth="1"/>
    <col min="2" max="2" width="13.7109375" style="53" bestFit="1" customWidth="1"/>
    <col min="3" max="3" width="6.7109375" style="53" bestFit="1" customWidth="1"/>
    <col min="4" max="4" width="9" style="53" customWidth="1"/>
    <col min="5" max="5" width="10.140625" style="53" bestFit="1" customWidth="1"/>
    <col min="6" max="6" width="7.85546875" style="53" bestFit="1" customWidth="1"/>
    <col min="7" max="7" width="11.28515625" style="53" bestFit="1" customWidth="1"/>
    <col min="8" max="8" width="11.7109375" style="53" bestFit="1" customWidth="1"/>
    <col min="9" max="9" width="10.28515625" style="53" bestFit="1" customWidth="1"/>
    <col min="10" max="10" width="13.7109375" style="53" bestFit="1" customWidth="1"/>
    <col min="11" max="11" width="12.85546875" style="53" bestFit="1" customWidth="1"/>
    <col min="12" max="13" width="11.7109375" style="53" bestFit="1" customWidth="1"/>
    <col min="14" max="14" width="13.140625" style="53" bestFit="1" customWidth="1"/>
    <col min="15" max="15" width="16" style="53" bestFit="1" customWidth="1"/>
    <col min="16" max="16" width="9.5703125" style="53" bestFit="1" customWidth="1"/>
    <col min="17" max="17" width="11.85546875" style="53" bestFit="1" customWidth="1"/>
    <col min="18" max="19" width="10.7109375" style="53" bestFit="1" customWidth="1"/>
    <col min="20" max="20" width="17.28515625" style="53" bestFit="1" customWidth="1"/>
    <col min="21" max="21" width="18.42578125" style="53" bestFit="1" customWidth="1"/>
    <col min="22" max="23" width="16" style="53" bestFit="1" customWidth="1"/>
    <col min="24" max="24" width="12.140625" style="62" customWidth="1"/>
    <col min="25" max="25" width="19" style="63" bestFit="1" customWidth="1"/>
    <col min="26" max="26" width="9" style="53" bestFit="1" customWidth="1"/>
    <col min="27" max="27" width="14.42578125" style="53" customWidth="1"/>
    <col min="28" max="28" width="9.7109375" style="53" bestFit="1" customWidth="1"/>
    <col min="29" max="29" width="12.28515625" style="53" bestFit="1" customWidth="1"/>
    <col min="30" max="30" width="19.42578125" style="53" bestFit="1" customWidth="1"/>
    <col min="31" max="16384" width="8.85546875" style="53"/>
  </cols>
  <sheetData>
    <row r="1" spans="1:30" s="51" customFormat="1" ht="27">
      <c r="A1" s="162" t="s">
        <v>50</v>
      </c>
      <c r="B1" s="162" t="s">
        <v>21</v>
      </c>
      <c r="C1" s="141" t="s">
        <v>147</v>
      </c>
      <c r="D1" s="152" t="s">
        <v>412</v>
      </c>
      <c r="E1" s="152" t="s">
        <v>360</v>
      </c>
      <c r="F1" s="134" t="s">
        <v>30</v>
      </c>
      <c r="G1" s="134" t="s">
        <v>20</v>
      </c>
      <c r="H1" s="136" t="s">
        <v>62</v>
      </c>
      <c r="I1" s="136" t="s">
        <v>61</v>
      </c>
      <c r="J1" s="136" t="s">
        <v>166</v>
      </c>
      <c r="K1" s="134" t="s">
        <v>155</v>
      </c>
      <c r="L1" s="134" t="s">
        <v>26</v>
      </c>
      <c r="M1" s="134" t="s">
        <v>27</v>
      </c>
      <c r="N1" s="152" t="s">
        <v>372</v>
      </c>
      <c r="O1" s="152" t="s">
        <v>459</v>
      </c>
      <c r="P1" s="152" t="s">
        <v>267</v>
      </c>
      <c r="Q1" s="152" t="s">
        <v>268</v>
      </c>
      <c r="R1" s="152" t="s">
        <v>269</v>
      </c>
      <c r="S1" s="152" t="s">
        <v>270</v>
      </c>
      <c r="T1" s="152" t="s">
        <v>170</v>
      </c>
      <c r="U1" s="152" t="s">
        <v>162</v>
      </c>
      <c r="V1" s="152" t="s">
        <v>168</v>
      </c>
      <c r="W1" s="152" t="s">
        <v>154</v>
      </c>
      <c r="X1" s="152" t="s">
        <v>44</v>
      </c>
      <c r="Y1" s="152" t="s">
        <v>45</v>
      </c>
      <c r="Z1" s="155" t="s">
        <v>25</v>
      </c>
      <c r="AA1" s="147" t="s">
        <v>355</v>
      </c>
      <c r="AB1" s="155" t="s">
        <v>22</v>
      </c>
      <c r="AC1" s="155" t="s">
        <v>23</v>
      </c>
      <c r="AD1" s="155" t="s">
        <v>24</v>
      </c>
    </row>
    <row r="2" spans="1:30">
      <c r="A2" s="52" t="str">
        <f>F2 &amp; " " &amp; N2 &amp; " " &amp; B2 &amp; IF(D2&gt;0," "&amp;FIXED(L2,0)&amp;"X"&amp;FIXED(M2,0),"")</f>
        <v>DUPONT LF 1.0PI/1.0AD 250X0</v>
      </c>
      <c r="B2" s="53" t="str">
        <f>IF(I2&gt;0,FIXED(I2,1) &amp; "PI/","") &amp; FIXED(H2,1) &amp; "AD"</f>
        <v>1.0PI/1.0AD</v>
      </c>
      <c r="C2" s="53" t="str">
        <f>IF(OR(A2=A3,A2=A1),"Dupe","--")</f>
        <v>--</v>
      </c>
      <c r="D2" s="53">
        <v>1</v>
      </c>
      <c r="E2" s="53" t="s">
        <v>449</v>
      </c>
      <c r="F2" s="53" t="s">
        <v>158</v>
      </c>
      <c r="G2" s="53" t="s">
        <v>295</v>
      </c>
      <c r="H2" s="54">
        <v>1</v>
      </c>
      <c r="I2" s="54">
        <v>1</v>
      </c>
      <c r="J2" s="55">
        <v>3.2</v>
      </c>
      <c r="K2" s="55">
        <f>J2</f>
        <v>3.2</v>
      </c>
      <c r="L2" s="137">
        <v>250</v>
      </c>
      <c r="M2" s="53">
        <v>0</v>
      </c>
      <c r="N2" s="138" t="s">
        <v>301</v>
      </c>
      <c r="O2" s="138" t="s">
        <v>302</v>
      </c>
      <c r="P2" s="53" t="b">
        <v>0</v>
      </c>
      <c r="Q2" s="53" t="b">
        <v>0</v>
      </c>
      <c r="R2" s="53" t="b">
        <v>0</v>
      </c>
      <c r="S2" s="53" t="b">
        <v>0</v>
      </c>
      <c r="T2" s="54">
        <v>0</v>
      </c>
      <c r="U2" s="54">
        <f>T2</f>
        <v>0</v>
      </c>
      <c r="V2" s="53" t="s">
        <v>161</v>
      </c>
      <c r="W2" s="53" t="s">
        <v>71</v>
      </c>
      <c r="X2" s="53">
        <v>0</v>
      </c>
      <c r="Y2" s="53">
        <v>1</v>
      </c>
      <c r="Z2" s="59" t="s">
        <v>74</v>
      </c>
      <c r="AA2" s="54">
        <f>H2+I2</f>
        <v>2</v>
      </c>
      <c r="AB2" s="138"/>
      <c r="AC2" s="138"/>
      <c r="AD2" s="138"/>
    </row>
    <row r="3" spans="1:30">
      <c r="A3" s="52" t="str">
        <f>F3 &amp; " " &amp; N3 &amp; " " &amp; B3 &amp; IF(D3&gt;0," "&amp;FIXED(L3,0)&amp;"X"&amp;FIXED(M3,0),"")</f>
        <v>DUPONT LF 2.0PI/1.0AD</v>
      </c>
      <c r="B3" s="53" t="str">
        <f>IF(I3&gt;0,FIXED(I3,1) &amp; "PI/","") &amp; FIXED(H3,1) &amp; "AD"</f>
        <v>2.0PI/1.0AD</v>
      </c>
      <c r="C3" s="53" t="str">
        <f t="shared" ref="C3:C4" si="0">IF(OR(A3=A4,A3=A2),"Dupe","--")</f>
        <v>--</v>
      </c>
      <c r="D3" s="53">
        <v>0</v>
      </c>
      <c r="E3" s="53" t="s">
        <v>449</v>
      </c>
      <c r="F3" s="53" t="s">
        <v>158</v>
      </c>
      <c r="G3" s="53" t="s">
        <v>295</v>
      </c>
      <c r="H3" s="54">
        <v>1</v>
      </c>
      <c r="I3" s="54">
        <v>2</v>
      </c>
      <c r="J3" s="55">
        <v>3.2</v>
      </c>
      <c r="K3" s="55">
        <f>J3</f>
        <v>3.2</v>
      </c>
      <c r="L3" s="137">
        <v>250</v>
      </c>
      <c r="M3" s="53">
        <v>0</v>
      </c>
      <c r="N3" s="138" t="s">
        <v>301</v>
      </c>
      <c r="O3" s="138" t="s">
        <v>303</v>
      </c>
      <c r="P3" s="53" t="b">
        <v>0</v>
      </c>
      <c r="Q3" s="53" t="b">
        <v>0</v>
      </c>
      <c r="R3" s="53" t="b">
        <v>0</v>
      </c>
      <c r="S3" s="53" t="b">
        <v>0</v>
      </c>
      <c r="T3" s="54">
        <v>0</v>
      </c>
      <c r="U3" s="54">
        <f t="shared" ref="U3:U4" si="1">T3</f>
        <v>0</v>
      </c>
      <c r="V3" s="53" t="s">
        <v>161</v>
      </c>
      <c r="W3" s="53" t="s">
        <v>71</v>
      </c>
      <c r="X3" s="53">
        <v>0</v>
      </c>
      <c r="Y3" s="53">
        <v>1</v>
      </c>
      <c r="Z3" s="59" t="s">
        <v>74</v>
      </c>
      <c r="AA3" s="54">
        <f>H3+I3</f>
        <v>3</v>
      </c>
      <c r="AB3" s="138"/>
      <c r="AC3" s="138"/>
      <c r="AD3" s="138"/>
    </row>
    <row r="4" spans="1:30">
      <c r="A4" s="52" t="str">
        <f>F4 &amp; " " &amp; N4 &amp; " " &amp; B4 &amp; IF(D4&gt;0," "&amp;FIXED(L4,0)&amp;"X"&amp;FIXED(M4,0),"")</f>
        <v>DUPONT LF 3.0PI/1.0AD</v>
      </c>
      <c r="B4" s="53" t="str">
        <f>IF(I4&gt;0,FIXED(I4,1) &amp; "PI/","") &amp; FIXED(H4,1) &amp; "AD"</f>
        <v>3.0PI/1.0AD</v>
      </c>
      <c r="C4" s="53" t="str">
        <f t="shared" si="0"/>
        <v>--</v>
      </c>
      <c r="D4" s="53">
        <v>0</v>
      </c>
      <c r="E4" s="53" t="s">
        <v>449</v>
      </c>
      <c r="F4" s="53" t="s">
        <v>158</v>
      </c>
      <c r="G4" s="53" t="s">
        <v>295</v>
      </c>
      <c r="H4" s="54">
        <v>1</v>
      </c>
      <c r="I4" s="54">
        <v>3</v>
      </c>
      <c r="J4" s="55">
        <v>3.2</v>
      </c>
      <c r="K4" s="55">
        <f>J4</f>
        <v>3.2</v>
      </c>
      <c r="L4" s="137">
        <v>250</v>
      </c>
      <c r="M4" s="53">
        <v>0</v>
      </c>
      <c r="N4" s="138" t="s">
        <v>301</v>
      </c>
      <c r="O4" s="138" t="s">
        <v>304</v>
      </c>
      <c r="P4" s="53" t="b">
        <v>0</v>
      </c>
      <c r="Q4" s="53" t="b">
        <v>0</v>
      </c>
      <c r="R4" s="53" t="b">
        <v>0</v>
      </c>
      <c r="S4" s="53" t="b">
        <v>0</v>
      </c>
      <c r="T4" s="54">
        <v>0</v>
      </c>
      <c r="U4" s="54">
        <f t="shared" si="1"/>
        <v>0</v>
      </c>
      <c r="V4" s="53" t="s">
        <v>161</v>
      </c>
      <c r="W4" s="53" t="s">
        <v>71</v>
      </c>
      <c r="X4" s="53">
        <v>0</v>
      </c>
      <c r="Y4" s="53">
        <v>1</v>
      </c>
      <c r="Z4" s="59" t="s">
        <v>74</v>
      </c>
      <c r="AA4" s="54">
        <f>H4+I4</f>
        <v>4</v>
      </c>
      <c r="AB4" s="138"/>
      <c r="AC4" s="138"/>
      <c r="AD4" s="138"/>
    </row>
  </sheetData>
  <conditionalFormatting sqref="F1 L1:M1">
    <cfRule type="cellIs" dxfId="127" priority="27" stopIfTrue="1" operator="equal">
      <formula>"TBA"</formula>
    </cfRule>
    <cfRule type="cellIs" dxfId="126" priority="28" stopIfTrue="1" operator="equal">
      <formula>"Unknown"</formula>
    </cfRule>
  </conditionalFormatting>
  <conditionalFormatting sqref="H1:K1">
    <cfRule type="cellIs" dxfId="125" priority="29" stopIfTrue="1" operator="equal">
      <formula>"Unknown"</formula>
    </cfRule>
  </conditionalFormatting>
  <conditionalFormatting sqref="AB2:AB4">
    <cfRule type="expression" dxfId="124" priority="56" stopIfTrue="1">
      <formula>AND(COUNTIF($AB:$AB, A1)&gt;1,NOT(ISBLANK(A1)))</formula>
    </cfRule>
  </conditionalFormatting>
  <conditionalFormatting sqref="AB2">
    <cfRule type="expression" dxfId="123" priority="57" stopIfTrue="1">
      <formula>AND(COUNTIF($AB$2:$AB$4, A1)&gt;1,NOT(ISBLANK(A1)))</formula>
    </cfRule>
  </conditionalFormatting>
  <conditionalFormatting sqref="AB3:AB4">
    <cfRule type="expression" dxfId="122" priority="58" stopIfTrue="1">
      <formula>AND(COUNTIF($AB$2:$AB$4, A1)&gt;1,NOT(ISBLANK(A1)))</formula>
    </cfRule>
  </conditionalFormatting>
  <conditionalFormatting sqref="AC2:AC4">
    <cfRule type="expression" dxfId="121" priority="80" stopIfTrue="1">
      <formula>AND(COUNTIF($AB:$AB, C1)&gt;1,NOT(ISBLANK(C1)))</formula>
    </cfRule>
  </conditionalFormatting>
  <conditionalFormatting sqref="AC2">
    <cfRule type="expression" dxfId="120" priority="82" stopIfTrue="1">
      <formula>AND(COUNTIF($AB$2:$AB$4, C1)&gt;1,NOT(ISBLANK(C1)))</formula>
    </cfRule>
  </conditionalFormatting>
  <conditionalFormatting sqref="AC3:AC4">
    <cfRule type="expression" dxfId="119" priority="84" stopIfTrue="1">
      <formula>AND(COUNTIF($AB$2:$AB$4, C1)&gt;1,NOT(ISBLANK(C1)))</formula>
    </cfRule>
  </conditionalFormatting>
  <conditionalFormatting sqref="AB5:AC65533">
    <cfRule type="expression" dxfId="118" priority="104" stopIfTrue="1">
      <formula>AND(COUNTIF($AB:$AB, #REF!)&gt;1,NOT(ISBLANK(#REF!)))</formula>
    </cfRule>
  </conditionalFormatting>
  <conditionalFormatting sqref="C1">
    <cfRule type="cellIs" dxfId="117" priority="5" stopIfTrue="1" operator="equal">
      <formula>"Unknown"</formula>
    </cfRule>
  </conditionalFormatting>
  <conditionalFormatting sqref="Z1">
    <cfRule type="cellIs" dxfId="116" priority="3" stopIfTrue="1" operator="equal">
      <formula>"TBA"</formula>
    </cfRule>
    <cfRule type="cellIs" dxfId="115" priority="4" stopIfTrue="1" operator="equal">
      <formula>"Unknown"</formula>
    </cfRule>
  </conditionalFormatting>
  <conditionalFormatting sqref="AB1:AD1">
    <cfRule type="cellIs" dxfId="114" priority="1" stopIfTrue="1" operator="equal">
      <formula>"TBA"</formula>
    </cfRule>
    <cfRule type="cellIs" dxfId="113" priority="2" stopIfTrue="1" operator="equal">
      <formula>"Unknown"</formula>
    </cfRule>
  </conditionalFormatting>
  <dataValidations count="3">
    <dataValidation type="list" allowBlank="1" showErrorMessage="1" sqref="Z2:Z4">
      <formula1>"false,true"</formula1>
    </dataValidation>
    <dataValidation type="list" allowBlank="1" showErrorMessage="1" sqref="V5:V8 Z5:Z8 H5:I8">
      <formula1>"'false,'true"</formula1>
      <formula2>0</formula2>
    </dataValidation>
    <dataValidation type="list" allowBlank="1" showInputMessage="1" showErrorMessage="1" sqref="E2:E4">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Enums!$D$4:$D$9</xm:f>
          </x14:formula1>
          <xm:sqref>V2:V4</xm:sqref>
        </x14:dataValidation>
        <x14:dataValidation type="list" allowBlank="1" showErrorMessage="1">
          <x14:formula1>
            <xm:f>Enums!$H$4:$H$6</xm:f>
          </x14:formula1>
          <xm:sqref>W2:W4</xm:sqref>
        </x14:dataValidation>
        <x14:dataValidation type="list" allowBlank="1" showInputMessage="1" showErrorMessage="1">
          <x14:formula1>
            <xm:f>Enums!$N$4:$N$18</xm:f>
          </x14:formula1>
          <xm:sqref>F2:F4</xm:sqref>
        </x14:dataValidation>
        <x14:dataValidation type="list" allowBlank="1" showInputMessage="1" showErrorMessage="1">
          <x14:formula1>
            <xm:f>Enums!$L$4:$L$26</xm:f>
          </x14:formula1>
          <xm:sqref>G2:G4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5"/>
  <sheetViews>
    <sheetView zoomScaleNormal="100" workbookViewId="0">
      <selection activeCell="C6" sqref="C6"/>
    </sheetView>
  </sheetViews>
  <sheetFormatPr defaultColWidth="11.42578125" defaultRowHeight="13.5"/>
  <cols>
    <col min="1" max="1" width="31.5703125" style="53" customWidth="1"/>
    <col min="2" max="2" width="14.85546875" style="53" bestFit="1" customWidth="1"/>
    <col min="3" max="3" width="6.7109375" style="53" bestFit="1" customWidth="1"/>
    <col min="4" max="4" width="9.85546875" style="53" customWidth="1"/>
    <col min="5" max="5" width="10.140625" style="53" bestFit="1" customWidth="1"/>
    <col min="6" max="6" width="7.85546875" style="53" bestFit="1" customWidth="1"/>
    <col min="7" max="7" width="11.28515625" style="53" bestFit="1" customWidth="1"/>
    <col min="8" max="8" width="9.42578125" style="53" bestFit="1" customWidth="1"/>
    <col min="9" max="9" width="11.140625" style="53" bestFit="1" customWidth="1"/>
    <col min="10" max="11" width="11.7109375" style="53" bestFit="1" customWidth="1"/>
    <col min="12" max="12" width="13.28515625" style="53" bestFit="1" customWidth="1"/>
    <col min="13" max="13" width="13.140625" style="53" bestFit="1" customWidth="1"/>
    <col min="14" max="14" width="16" style="53" bestFit="1" customWidth="1"/>
    <col min="15" max="15" width="9.5703125" style="53" bestFit="1" customWidth="1"/>
    <col min="16" max="16" width="11.85546875" style="53" bestFit="1" customWidth="1"/>
    <col min="17" max="18" width="10.7109375" style="53" bestFit="1" customWidth="1"/>
    <col min="19" max="19" width="11.42578125" style="53" bestFit="1" customWidth="1"/>
    <col min="20" max="20" width="12.140625" style="57" bestFit="1" customWidth="1"/>
    <col min="21" max="21" width="19.85546875" style="56" bestFit="1" customWidth="1"/>
    <col min="22" max="22" width="9" style="53" bestFit="1" customWidth="1"/>
    <col min="23" max="23" width="13.7109375" style="53" customWidth="1"/>
    <col min="24" max="24" width="9.7109375" style="53" bestFit="1" customWidth="1"/>
    <col min="25" max="25" width="12.28515625" style="53" bestFit="1" customWidth="1"/>
    <col min="26" max="26" width="19.42578125" style="53" bestFit="1" customWidth="1"/>
    <col min="27" max="16384" width="11.42578125" style="60"/>
  </cols>
  <sheetData>
    <row r="1" spans="1:26" s="58" customFormat="1" ht="27">
      <c r="A1" s="162" t="s">
        <v>50</v>
      </c>
      <c r="B1" s="162" t="s">
        <v>21</v>
      </c>
      <c r="C1" s="141" t="s">
        <v>147</v>
      </c>
      <c r="D1" s="152" t="s">
        <v>412</v>
      </c>
      <c r="E1" s="152" t="s">
        <v>360</v>
      </c>
      <c r="F1" s="134" t="s">
        <v>30</v>
      </c>
      <c r="G1" s="134" t="s">
        <v>20</v>
      </c>
      <c r="H1" s="134" t="s">
        <v>17</v>
      </c>
      <c r="I1" s="134" t="s">
        <v>166</v>
      </c>
      <c r="J1" s="134" t="s">
        <v>26</v>
      </c>
      <c r="K1" s="134" t="s">
        <v>27</v>
      </c>
      <c r="L1" s="152" t="s">
        <v>168</v>
      </c>
      <c r="M1" s="152" t="s">
        <v>372</v>
      </c>
      <c r="N1" s="152" t="s">
        <v>459</v>
      </c>
      <c r="O1" s="152" t="s">
        <v>267</v>
      </c>
      <c r="P1" s="152" t="s">
        <v>268</v>
      </c>
      <c r="Q1" s="152" t="s">
        <v>269</v>
      </c>
      <c r="R1" s="152" t="s">
        <v>270</v>
      </c>
      <c r="S1" s="152" t="s">
        <v>167</v>
      </c>
      <c r="T1" s="152" t="s">
        <v>44</v>
      </c>
      <c r="U1" s="152" t="s">
        <v>45</v>
      </c>
      <c r="V1" s="155" t="s">
        <v>25</v>
      </c>
      <c r="W1" s="147" t="s">
        <v>355</v>
      </c>
      <c r="X1" s="155" t="s">
        <v>22</v>
      </c>
      <c r="Y1" s="155" t="s">
        <v>23</v>
      </c>
      <c r="Z1" s="155" t="s">
        <v>24</v>
      </c>
    </row>
    <row r="2" spans="1:26" s="53" customFormat="1">
      <c r="A2" s="52" t="str">
        <f>F2 &amp; " " &amp; M2 &amp; " " &amp; B2 &amp; IF(D2&gt;0," "&amp;FIXED(J2,0)&amp;"X"&amp;FIXED(K2,0),"")</f>
        <v>DUPONT LF 1.0AD</v>
      </c>
      <c r="B2" s="53" t="str">
        <f>IF(H2&gt;0,FIXED(H2,1) &amp; "AD","")</f>
        <v>1.0AD</v>
      </c>
      <c r="C2" s="53" t="str">
        <f>IF(OR(A2=A3,A2=A1),"Dupe","--")</f>
        <v>--</v>
      </c>
      <c r="D2" s="53">
        <v>0</v>
      </c>
      <c r="E2" s="53" t="s">
        <v>449</v>
      </c>
      <c r="F2" s="53" t="s">
        <v>158</v>
      </c>
      <c r="G2" s="53" t="s">
        <v>295</v>
      </c>
      <c r="H2" s="54">
        <v>1</v>
      </c>
      <c r="I2" s="55">
        <v>3.2</v>
      </c>
      <c r="J2" s="137">
        <v>250</v>
      </c>
      <c r="K2" s="53">
        <v>0</v>
      </c>
      <c r="L2" s="53" t="s">
        <v>161</v>
      </c>
      <c r="M2" s="53" t="s">
        <v>301</v>
      </c>
      <c r="N2" s="53" t="s">
        <v>305</v>
      </c>
      <c r="O2" s="53" t="b">
        <v>0</v>
      </c>
      <c r="P2" s="53" t="b">
        <v>0</v>
      </c>
      <c r="Q2" s="53" t="b">
        <v>0</v>
      </c>
      <c r="R2" s="53" t="b">
        <v>0</v>
      </c>
      <c r="S2" s="54">
        <v>0</v>
      </c>
      <c r="T2" s="53">
        <v>0</v>
      </c>
      <c r="U2" s="53">
        <v>1</v>
      </c>
      <c r="V2" s="59" t="s">
        <v>74</v>
      </c>
      <c r="W2" s="54">
        <f>H2</f>
        <v>1</v>
      </c>
      <c r="X2" s="138"/>
      <c r="Y2" s="139"/>
      <c r="Z2" s="138"/>
    </row>
    <row r="3" spans="1:26" s="53" customFormat="1">
      <c r="A3" s="52" t="str">
        <f>F3 &amp; " " &amp; M3 &amp; " " &amp; B3 &amp; IF(D3&gt;0," "&amp;FIXED(J3,0)&amp;"X"&amp;FIXED(K3,0),"")</f>
        <v>DUPONT LF 2.0AD</v>
      </c>
      <c r="B3" s="53" t="str">
        <f>IF(H3&gt;0,FIXED(H3,1) &amp; "AD","")</f>
        <v>2.0AD</v>
      </c>
      <c r="C3" s="53" t="str">
        <f t="shared" ref="C3:C5" si="0">IF(OR(A3=A4,A3=A2),"Dupe","--")</f>
        <v>--</v>
      </c>
      <c r="D3" s="53">
        <v>0</v>
      </c>
      <c r="E3" s="53" t="s">
        <v>449</v>
      </c>
      <c r="F3" s="53" t="s">
        <v>158</v>
      </c>
      <c r="G3" s="53" t="s">
        <v>295</v>
      </c>
      <c r="H3" s="54">
        <v>2</v>
      </c>
      <c r="I3" s="55">
        <v>3.2</v>
      </c>
      <c r="J3" s="137">
        <v>250</v>
      </c>
      <c r="K3" s="53">
        <v>0</v>
      </c>
      <c r="L3" s="53" t="s">
        <v>161</v>
      </c>
      <c r="M3" s="53" t="s">
        <v>301</v>
      </c>
      <c r="N3" s="53" t="s">
        <v>306</v>
      </c>
      <c r="O3" s="53" t="b">
        <v>0</v>
      </c>
      <c r="P3" s="53" t="b">
        <v>0</v>
      </c>
      <c r="Q3" s="53" t="b">
        <v>0</v>
      </c>
      <c r="R3" s="53" t="b">
        <v>0</v>
      </c>
      <c r="S3" s="54">
        <v>0</v>
      </c>
      <c r="T3" s="53">
        <v>0</v>
      </c>
      <c r="U3" s="53">
        <v>1</v>
      </c>
      <c r="V3" s="59" t="s">
        <v>74</v>
      </c>
      <c r="W3" s="54">
        <f>H3</f>
        <v>2</v>
      </c>
      <c r="X3" s="138"/>
      <c r="Y3" s="140"/>
      <c r="Z3" s="138"/>
    </row>
    <row r="4" spans="1:26" s="53" customFormat="1">
      <c r="A4" s="52" t="str">
        <f>F4 &amp; " " &amp; M4 &amp; " " &amp; B4 &amp; IF(D4&gt;0," "&amp;FIXED(J4,0)&amp;"X"&amp;FIXED(K4,0),"")</f>
        <v>DUPONT LF 3.0AD</v>
      </c>
      <c r="B4" s="53" t="str">
        <f>IF(H4&gt;0,FIXED(H4,1) &amp; "AD","")</f>
        <v>3.0AD</v>
      </c>
      <c r="C4" s="53" t="str">
        <f t="shared" si="0"/>
        <v>--</v>
      </c>
      <c r="D4" s="53">
        <v>0</v>
      </c>
      <c r="E4" s="53" t="s">
        <v>449</v>
      </c>
      <c r="F4" s="53" t="s">
        <v>158</v>
      </c>
      <c r="G4" s="53" t="s">
        <v>295</v>
      </c>
      <c r="H4" s="54">
        <v>3</v>
      </c>
      <c r="I4" s="55">
        <v>3.2</v>
      </c>
      <c r="J4" s="137">
        <v>250</v>
      </c>
      <c r="K4" s="53">
        <v>0</v>
      </c>
      <c r="L4" s="53" t="s">
        <v>161</v>
      </c>
      <c r="M4" s="53" t="s">
        <v>301</v>
      </c>
      <c r="N4" s="53" t="s">
        <v>307</v>
      </c>
      <c r="O4" s="53" t="b">
        <v>0</v>
      </c>
      <c r="P4" s="53" t="b">
        <v>0</v>
      </c>
      <c r="Q4" s="53" t="b">
        <v>0</v>
      </c>
      <c r="R4" s="53" t="b">
        <v>0</v>
      </c>
      <c r="S4" s="54">
        <v>0</v>
      </c>
      <c r="T4" s="53">
        <v>0</v>
      </c>
      <c r="U4" s="53">
        <v>1</v>
      </c>
      <c r="V4" s="59" t="s">
        <v>74</v>
      </c>
      <c r="W4" s="54">
        <f>H4</f>
        <v>3</v>
      </c>
      <c r="X4" s="138"/>
      <c r="Y4" s="140"/>
      <c r="Z4" s="138"/>
    </row>
    <row r="5" spans="1:26" s="53" customFormat="1">
      <c r="A5" s="52" t="str">
        <f>F5 &amp; " " &amp; M5 &amp; " " &amp; B5 &amp; IF(D5&gt;0," "&amp;FIXED(J5,0)&amp;"X"&amp;FIXED(K5,0),"")</f>
        <v>DUPONT LF 4.0AD</v>
      </c>
      <c r="B5" s="53" t="str">
        <f>IF(H5&gt;0,FIXED(H5,1) &amp; "AD","")</f>
        <v>4.0AD</v>
      </c>
      <c r="C5" s="53" t="str">
        <f t="shared" si="0"/>
        <v>--</v>
      </c>
      <c r="D5" s="53">
        <v>0</v>
      </c>
      <c r="E5" s="53" t="s">
        <v>449</v>
      </c>
      <c r="F5" s="53" t="s">
        <v>158</v>
      </c>
      <c r="G5" s="53" t="s">
        <v>295</v>
      </c>
      <c r="H5" s="54">
        <v>4</v>
      </c>
      <c r="I5" s="55">
        <v>3.2</v>
      </c>
      <c r="J5" s="137">
        <v>250</v>
      </c>
      <c r="K5" s="53">
        <v>0</v>
      </c>
      <c r="L5" s="53" t="s">
        <v>161</v>
      </c>
      <c r="M5" s="53" t="s">
        <v>301</v>
      </c>
      <c r="N5" s="53" t="s">
        <v>308</v>
      </c>
      <c r="O5" s="53" t="b">
        <v>0</v>
      </c>
      <c r="P5" s="53" t="b">
        <v>0</v>
      </c>
      <c r="Q5" s="53" t="b">
        <v>0</v>
      </c>
      <c r="R5" s="53" t="b">
        <v>0</v>
      </c>
      <c r="S5" s="54">
        <v>0</v>
      </c>
      <c r="T5" s="53">
        <v>0</v>
      </c>
      <c r="U5" s="53">
        <v>1</v>
      </c>
      <c r="V5" s="59" t="s">
        <v>74</v>
      </c>
      <c r="W5" s="54">
        <f>H5</f>
        <v>4</v>
      </c>
      <c r="X5" s="138"/>
      <c r="Y5" s="140"/>
      <c r="Z5" s="138"/>
    </row>
  </sheetData>
  <conditionalFormatting sqref="Y2:Y3">
    <cfRule type="expression" dxfId="112" priority="30" stopIfTrue="1">
      <formula>AND(COUNTIF($X$2:$X$3, A1)&gt;1,NOT(ISBLANK(A1)))</formula>
    </cfRule>
  </conditionalFormatting>
  <conditionalFormatting sqref="X2:X3">
    <cfRule type="expression" dxfId="111" priority="31" stopIfTrue="1">
      <formula>AND(COUNTIF($X$3:$X$5, A1)&gt;1,NOT(ISBLANK(A1)))</formula>
    </cfRule>
  </conditionalFormatting>
  <conditionalFormatting sqref="Y4:Y5">
    <cfRule type="expression" dxfId="110" priority="25" stopIfTrue="1">
      <formula>AND(COUNTIF($X$2:$X$3, A1)&gt;1,NOT(ISBLANK(A1)))</formula>
    </cfRule>
  </conditionalFormatting>
  <conditionalFormatting sqref="X4:X5">
    <cfRule type="expression" dxfId="109" priority="26" stopIfTrue="1">
      <formula>AND(COUNTIF($X$3:$X$5, A1)&gt;1,NOT(ISBLANK(A1)))</formula>
    </cfRule>
  </conditionalFormatting>
  <conditionalFormatting sqref="F1">
    <cfRule type="cellIs" dxfId="108" priority="8" stopIfTrue="1" operator="equal">
      <formula>"TBA"</formula>
    </cfRule>
    <cfRule type="cellIs" dxfId="107" priority="9" stopIfTrue="1" operator="equal">
      <formula>"Unknown"</formula>
    </cfRule>
  </conditionalFormatting>
  <conditionalFormatting sqref="C1">
    <cfRule type="cellIs" dxfId="106" priority="7" stopIfTrue="1" operator="equal">
      <formula>"Unknown"</formula>
    </cfRule>
  </conditionalFormatting>
  <conditionalFormatting sqref="V1">
    <cfRule type="cellIs" dxfId="105" priority="5" stopIfTrue="1" operator="equal">
      <formula>"TBA"</formula>
    </cfRule>
    <cfRule type="cellIs" dxfId="104" priority="6" stopIfTrue="1" operator="equal">
      <formula>"Unknown"</formula>
    </cfRule>
  </conditionalFormatting>
  <conditionalFormatting sqref="X1:Z1">
    <cfRule type="cellIs" dxfId="103" priority="3" stopIfTrue="1" operator="equal">
      <formula>"TBA"</formula>
    </cfRule>
    <cfRule type="cellIs" dxfId="102" priority="4" stopIfTrue="1" operator="equal">
      <formula>"Unknown"</formula>
    </cfRule>
  </conditionalFormatting>
  <conditionalFormatting sqref="G1:K1">
    <cfRule type="cellIs" dxfId="101" priority="1" stopIfTrue="1" operator="equal">
      <formula>"TBA"</formula>
    </cfRule>
    <cfRule type="cellIs" dxfId="100" priority="2" stopIfTrue="1" operator="equal">
      <formula>"Unknown"</formula>
    </cfRule>
  </conditionalFormatting>
  <dataValidations count="3">
    <dataValidation type="list" allowBlank="1" showErrorMessage="1" sqref="V2:V5">
      <formula1>"false,true"</formula1>
    </dataValidation>
    <dataValidation type="list" allowBlank="1" showErrorMessage="1" sqref="V6:V73">
      <formula1>"'false,'true"</formula1>
      <formula2>0</formula2>
    </dataValidation>
    <dataValidation type="list" allowBlank="1" showInputMessage="1" showErrorMessage="1" sqref="E2:E5">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Enums!$D$4:$D$9</xm:f>
          </x14:formula1>
          <xm:sqref>L2:L5</xm:sqref>
        </x14:dataValidation>
        <x14:dataValidation type="list" allowBlank="1" showInputMessage="1" showErrorMessage="1">
          <x14:formula1>
            <xm:f>Enums!$N$4:$N$18</xm:f>
          </x14:formula1>
          <xm:sqref>F2:F5</xm:sqref>
        </x14:dataValidation>
        <x14:dataValidation type="list" allowBlank="1" showInputMessage="1" showErrorMessage="1">
          <x14:formula1>
            <xm:f>Enums!$L$4:$L$26</xm:f>
          </x14:formula1>
          <xm:sqref>G2:G5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H3"/>
  <sheetViews>
    <sheetView zoomScaleNormal="100" workbookViewId="0">
      <selection activeCell="B5" sqref="B5"/>
    </sheetView>
  </sheetViews>
  <sheetFormatPr defaultColWidth="11.42578125" defaultRowHeight="13.5"/>
  <cols>
    <col min="1" max="1" width="33.7109375" style="53" bestFit="1" customWidth="1"/>
    <col min="2" max="2" width="21.42578125" style="53" bestFit="1" customWidth="1"/>
    <col min="3" max="4" width="7" style="53" bestFit="1" customWidth="1"/>
    <col min="5" max="5" width="10.5703125" style="53" bestFit="1" customWidth="1"/>
    <col min="6" max="6" width="8.140625" style="53" bestFit="1" customWidth="1"/>
    <col min="7" max="7" width="11.7109375" style="53" bestFit="1" customWidth="1"/>
    <col min="8" max="13" width="19.140625" style="53" customWidth="1"/>
    <col min="14" max="16" width="11.7109375" style="53" bestFit="1" customWidth="1"/>
    <col min="17" max="17" width="16.5703125" style="53" bestFit="1" customWidth="1"/>
    <col min="18" max="18" width="8.140625" style="53" bestFit="1" customWidth="1"/>
    <col min="19" max="19" width="10.5703125" style="53" bestFit="1" customWidth="1"/>
    <col min="20" max="21" width="9.42578125" style="53" bestFit="1" customWidth="1"/>
    <col min="22" max="27" width="22.85546875" style="53" customWidth="1"/>
    <col min="28" max="28" width="19.140625" style="117" bestFit="1" customWidth="1"/>
    <col min="29" max="29" width="19.5703125" style="116" customWidth="1"/>
    <col min="30" max="30" width="10.5703125" style="53" bestFit="1" customWidth="1"/>
    <col min="31" max="31" width="14.5703125" style="53" customWidth="1"/>
    <col min="32" max="32" width="10.5703125" style="53" bestFit="1" customWidth="1"/>
    <col min="33" max="33" width="15.42578125" style="53" bestFit="1" customWidth="1"/>
    <col min="34" max="34" width="24" style="53" bestFit="1" customWidth="1"/>
    <col min="35" max="16384" width="11.42578125" style="60"/>
  </cols>
  <sheetData>
    <row r="1" spans="1:34" s="120" customFormat="1" ht="40.5">
      <c r="A1" s="162" t="s">
        <v>50</v>
      </c>
      <c r="B1" s="162" t="s">
        <v>21</v>
      </c>
      <c r="C1" s="141" t="s">
        <v>147</v>
      </c>
      <c r="D1" s="152" t="s">
        <v>412</v>
      </c>
      <c r="E1" s="152" t="s">
        <v>360</v>
      </c>
      <c r="F1" s="134" t="s">
        <v>30</v>
      </c>
      <c r="G1" s="134" t="s">
        <v>20</v>
      </c>
      <c r="H1" s="134" t="s">
        <v>57</v>
      </c>
      <c r="I1" s="134" t="s">
        <v>61</v>
      </c>
      <c r="J1" s="134" t="s">
        <v>58</v>
      </c>
      <c r="K1" s="134" t="s">
        <v>153</v>
      </c>
      <c r="L1" s="134" t="s">
        <v>155</v>
      </c>
      <c r="M1" s="134" t="s">
        <v>157</v>
      </c>
      <c r="N1" s="134" t="s">
        <v>26</v>
      </c>
      <c r="O1" s="134" t="s">
        <v>27</v>
      </c>
      <c r="P1" s="152" t="s">
        <v>372</v>
      </c>
      <c r="Q1" s="152" t="s">
        <v>459</v>
      </c>
      <c r="R1" s="152" t="s">
        <v>267</v>
      </c>
      <c r="S1" s="152" t="s">
        <v>268</v>
      </c>
      <c r="T1" s="152" t="s">
        <v>269</v>
      </c>
      <c r="U1" s="152" t="s">
        <v>270</v>
      </c>
      <c r="V1" s="152" t="s">
        <v>163</v>
      </c>
      <c r="W1" s="152" t="s">
        <v>162</v>
      </c>
      <c r="X1" s="152" t="s">
        <v>164</v>
      </c>
      <c r="Y1" s="152" t="s">
        <v>152</v>
      </c>
      <c r="Z1" s="152" t="s">
        <v>154</v>
      </c>
      <c r="AA1" s="152" t="s">
        <v>156</v>
      </c>
      <c r="AB1" s="152" t="s">
        <v>44</v>
      </c>
      <c r="AC1" s="152" t="s">
        <v>45</v>
      </c>
      <c r="AD1" s="155" t="s">
        <v>25</v>
      </c>
      <c r="AE1" s="147" t="s">
        <v>355</v>
      </c>
      <c r="AF1" s="155" t="s">
        <v>22</v>
      </c>
      <c r="AG1" s="155" t="s">
        <v>23</v>
      </c>
      <c r="AH1" s="155" t="s">
        <v>24</v>
      </c>
    </row>
    <row r="2" spans="1:34">
      <c r="A2" s="53" t="str">
        <f>F2 &amp; " " &amp; P2 &amp; " " &amp; B2 &amp; IF(D2&gt;0," "&amp;FIXED(N2,0)&amp;"X"&amp;FIXED(O2,0),"")</f>
        <v>DUPONT LF 1.0AD/1.0PI/1.0AD</v>
      </c>
      <c r="B2" s="53" t="str">
        <f>IF(H2&gt;0,FIXED(H2,1) &amp; "AD","") &amp; IF(I2&gt;0,"/" &amp; FIXED(I2,1) &amp; "PI","") &amp; IF(J2&gt;0,"/" &amp; FIXED(J2,1) &amp; "AD","")</f>
        <v>1.0AD/1.0PI/1.0AD</v>
      </c>
      <c r="C2" s="53" t="str">
        <f>IF(OR(A2=A3,A2=A1),"Dupe","--")</f>
        <v>--</v>
      </c>
      <c r="D2" s="53">
        <v>0</v>
      </c>
      <c r="E2" s="53" t="s">
        <v>449</v>
      </c>
      <c r="F2" s="53" t="s">
        <v>158</v>
      </c>
      <c r="G2" s="53" t="s">
        <v>295</v>
      </c>
      <c r="H2" s="53">
        <v>1</v>
      </c>
      <c r="I2" s="53">
        <v>1</v>
      </c>
      <c r="J2" s="53">
        <v>1</v>
      </c>
      <c r="K2" s="54">
        <v>3.2</v>
      </c>
      <c r="L2" s="54">
        <f>K2</f>
        <v>3.2</v>
      </c>
      <c r="M2" s="54">
        <f>K2</f>
        <v>3.2</v>
      </c>
      <c r="N2" s="53">
        <v>250</v>
      </c>
      <c r="O2" s="53">
        <v>0</v>
      </c>
      <c r="P2" s="53" t="s">
        <v>301</v>
      </c>
      <c r="Q2" s="53" t="s">
        <v>309</v>
      </c>
      <c r="R2" s="53" t="b">
        <v>0</v>
      </c>
      <c r="S2" s="53" t="b">
        <v>0</v>
      </c>
      <c r="T2" s="53" t="b">
        <v>0</v>
      </c>
      <c r="U2" s="53" t="b">
        <v>0</v>
      </c>
      <c r="V2" s="54">
        <v>0</v>
      </c>
      <c r="W2" s="54">
        <f>V2</f>
        <v>0</v>
      </c>
      <c r="X2" s="54">
        <f>V2</f>
        <v>0</v>
      </c>
      <c r="Y2" s="53" t="s">
        <v>161</v>
      </c>
      <c r="Z2" s="53" t="s">
        <v>71</v>
      </c>
      <c r="AA2" s="53" t="s">
        <v>161</v>
      </c>
      <c r="AB2" s="117">
        <v>0</v>
      </c>
      <c r="AC2" s="116">
        <v>1</v>
      </c>
      <c r="AD2" s="53" t="s">
        <v>74</v>
      </c>
      <c r="AE2" s="53">
        <f>H2+I2+J2</f>
        <v>3</v>
      </c>
    </row>
    <row r="3" spans="1:34">
      <c r="A3" s="53" t="str">
        <f>F3 &amp; " " &amp; P3 &amp; " " &amp; B3 &amp; IF(D3&gt;0," "&amp;FIXED(N3,0)&amp;"X"&amp;FIXED(O3,0),"")</f>
        <v>DUPONT LF 1.0AD/2.0PI/1.0AD</v>
      </c>
      <c r="B3" s="53" t="str">
        <f>IF(H3&gt;0,FIXED(H3,1) &amp; "AD","") &amp; IF(I3&gt;0,"/" &amp; FIXED(I3,1) &amp; "PI","") &amp; IF(J3&gt;0,"/" &amp; FIXED(J3,1) &amp; "AD","")</f>
        <v>1.0AD/2.0PI/1.0AD</v>
      </c>
      <c r="C3" s="53" t="str">
        <f>IF(OR(A3=A4,A3=A2),"Dupe","--")</f>
        <v>--</v>
      </c>
      <c r="D3" s="53">
        <v>0</v>
      </c>
      <c r="E3" s="53" t="s">
        <v>449</v>
      </c>
      <c r="F3" s="53" t="s">
        <v>158</v>
      </c>
      <c r="G3" s="53" t="s">
        <v>295</v>
      </c>
      <c r="H3" s="53">
        <v>1</v>
      </c>
      <c r="I3" s="53">
        <v>2</v>
      </c>
      <c r="J3" s="53">
        <v>1</v>
      </c>
      <c r="K3" s="54">
        <v>3.2</v>
      </c>
      <c r="L3" s="54">
        <f>K3</f>
        <v>3.2</v>
      </c>
      <c r="M3" s="54">
        <f>K3</f>
        <v>3.2</v>
      </c>
      <c r="N3" s="53">
        <v>250</v>
      </c>
      <c r="O3" s="53">
        <v>0</v>
      </c>
      <c r="P3" s="53" t="s">
        <v>301</v>
      </c>
      <c r="Q3" s="53" t="s">
        <v>310</v>
      </c>
      <c r="R3" s="53" t="b">
        <v>0</v>
      </c>
      <c r="S3" s="53" t="b">
        <v>0</v>
      </c>
      <c r="T3" s="53" t="b">
        <v>0</v>
      </c>
      <c r="U3" s="53" t="b">
        <v>0</v>
      </c>
      <c r="V3" s="54">
        <v>0</v>
      </c>
      <c r="W3" s="54">
        <f>V3</f>
        <v>0</v>
      </c>
      <c r="X3" s="54">
        <f>V3</f>
        <v>0</v>
      </c>
      <c r="Y3" s="53" t="s">
        <v>161</v>
      </c>
      <c r="Z3" s="53" t="s">
        <v>71</v>
      </c>
      <c r="AA3" s="53" t="s">
        <v>161</v>
      </c>
      <c r="AB3" s="117">
        <v>0</v>
      </c>
      <c r="AC3" s="116">
        <v>1</v>
      </c>
      <c r="AD3" s="53" t="s">
        <v>74</v>
      </c>
      <c r="AE3" s="53">
        <f>H3+I3+J3</f>
        <v>4</v>
      </c>
    </row>
  </sheetData>
  <conditionalFormatting sqref="C1">
    <cfRule type="cellIs" dxfId="99" priority="9" stopIfTrue="1" operator="equal">
      <formula>"Unknown"</formula>
    </cfRule>
  </conditionalFormatting>
  <conditionalFormatting sqref="G1:O1">
    <cfRule type="cellIs" dxfId="98" priority="7" stopIfTrue="1" operator="equal">
      <formula>"TBA"</formula>
    </cfRule>
    <cfRule type="cellIs" dxfId="97" priority="8" stopIfTrue="1" operator="equal">
      <formula>"Unknown"</formula>
    </cfRule>
  </conditionalFormatting>
  <conditionalFormatting sqref="F1">
    <cfRule type="cellIs" dxfId="96" priority="10" stopIfTrue="1" operator="equal">
      <formula>"TBA"</formula>
    </cfRule>
    <cfRule type="cellIs" dxfId="95" priority="11" stopIfTrue="1" operator="equal">
      <formula>"Unknown"</formula>
    </cfRule>
  </conditionalFormatting>
  <conditionalFormatting sqref="AD1">
    <cfRule type="cellIs" dxfId="94" priority="5" stopIfTrue="1" operator="equal">
      <formula>"TBA"</formula>
    </cfRule>
    <cfRule type="cellIs" dxfId="93" priority="6" stopIfTrue="1" operator="equal">
      <formula>"Unknown"</formula>
    </cfRule>
  </conditionalFormatting>
  <conditionalFormatting sqref="AF1">
    <cfRule type="cellIs" dxfId="92" priority="3" stopIfTrue="1" operator="equal">
      <formula>"TBA"</formula>
    </cfRule>
    <cfRule type="cellIs" dxfId="91" priority="4" stopIfTrue="1" operator="equal">
      <formula>"Unknown"</formula>
    </cfRule>
  </conditionalFormatting>
  <conditionalFormatting sqref="AG1:AH1">
    <cfRule type="cellIs" dxfId="90" priority="1" stopIfTrue="1" operator="equal">
      <formula>"TBA"</formula>
    </cfRule>
    <cfRule type="cellIs" dxfId="89" priority="2" stopIfTrue="1" operator="equal">
      <formula>"Unknown"</formula>
    </cfRule>
  </conditionalFormatting>
  <dataValidations count="3">
    <dataValidation type="list" allowBlank="1" showErrorMessage="1" sqref="AD2:AD3">
      <formula1>"false,true"</formula1>
    </dataValidation>
    <dataValidation type="list" allowBlank="1" showErrorMessage="1" sqref="AD4:AD6 AD8:AD35">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Enums!$H$4:$H$6</xm:f>
          </x14:formula1>
          <xm:sqref>Z2:Z3</xm:sqref>
        </x14:dataValidation>
        <x14:dataValidation type="list" allowBlank="1" showErrorMessage="1">
          <x14:formula1>
            <xm:f>Enums!$D$4:$D$9</xm:f>
          </x14:formula1>
          <xm:sqref>Y2:Y3 AA2:AA3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6"/>
  <sheetViews>
    <sheetView zoomScaleNormal="100" workbookViewId="0">
      <selection activeCell="A7" sqref="A7"/>
    </sheetView>
  </sheetViews>
  <sheetFormatPr defaultColWidth="11.42578125" defaultRowHeight="13.5"/>
  <cols>
    <col min="1" max="1" width="37.42578125" style="52" bestFit="1" customWidth="1"/>
    <col min="2" max="2" width="27.7109375" style="53" bestFit="1" customWidth="1"/>
    <col min="3" max="4" width="7" style="53" bestFit="1" customWidth="1"/>
    <col min="5" max="5" width="10.140625" style="53" bestFit="1" customWidth="1"/>
    <col min="6" max="6" width="9.42578125" style="53" bestFit="1" customWidth="1"/>
    <col min="7" max="7" width="11.7109375" style="53" bestFit="1" customWidth="1"/>
    <col min="8" max="8" width="21.28515625" style="53" bestFit="1" customWidth="1"/>
    <col min="9" max="9" width="13.42578125" style="53" bestFit="1" customWidth="1"/>
    <col min="10" max="10" width="13.5703125" style="55" bestFit="1" customWidth="1"/>
    <col min="11" max="11" width="14.7109375" style="53" bestFit="1" customWidth="1"/>
    <col min="12" max="13" width="11.7109375" style="53" bestFit="1" customWidth="1"/>
    <col min="14" max="15" width="16.5703125" style="53" bestFit="1" customWidth="1"/>
    <col min="16" max="16" width="9.85546875" style="53" bestFit="1" customWidth="1"/>
    <col min="17" max="17" width="12.28515625" style="53" bestFit="1" customWidth="1"/>
    <col min="18" max="18" width="11" style="53" customWidth="1"/>
    <col min="19" max="19" width="11" style="53" bestFit="1" customWidth="1"/>
    <col min="20" max="20" width="21.85546875" style="53" bestFit="1" customWidth="1"/>
    <col min="21" max="21" width="13.5703125" style="53" bestFit="1" customWidth="1"/>
    <col min="22" max="22" width="14.5703125" style="57" bestFit="1" customWidth="1"/>
    <col min="23" max="23" width="22.140625" style="56" bestFit="1" customWidth="1"/>
    <col min="24" max="24" width="9.5703125" style="53" bestFit="1" customWidth="1"/>
    <col min="25" max="25" width="18"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172</v>
      </c>
      <c r="I1" s="134" t="s">
        <v>173</v>
      </c>
      <c r="J1" s="134" t="s">
        <v>62</v>
      </c>
      <c r="K1" s="134" t="s">
        <v>166</v>
      </c>
      <c r="L1" s="134" t="s">
        <v>26</v>
      </c>
      <c r="M1" s="134" t="s">
        <v>27</v>
      </c>
      <c r="N1" s="152" t="s">
        <v>372</v>
      </c>
      <c r="O1" s="152" t="s">
        <v>459</v>
      </c>
      <c r="P1" s="152" t="s">
        <v>267</v>
      </c>
      <c r="Q1" s="152" t="s">
        <v>268</v>
      </c>
      <c r="R1" s="152" t="s">
        <v>269</v>
      </c>
      <c r="S1" s="152" t="s">
        <v>270</v>
      </c>
      <c r="T1" s="152" t="s">
        <v>170</v>
      </c>
      <c r="U1" s="152" t="s">
        <v>168</v>
      </c>
      <c r="V1" s="152" t="s">
        <v>44</v>
      </c>
      <c r="W1" s="152" t="s">
        <v>45</v>
      </c>
      <c r="X1" s="155" t="s">
        <v>25</v>
      </c>
      <c r="Y1" s="147" t="s">
        <v>355</v>
      </c>
      <c r="Z1" s="155" t="s">
        <v>22</v>
      </c>
      <c r="AA1" s="155" t="s">
        <v>23</v>
      </c>
      <c r="AB1" s="155" t="s">
        <v>24</v>
      </c>
    </row>
    <row r="2" spans="1:28" s="53" customFormat="1">
      <c r="A2" s="52" t="str">
        <f>F2&amp;" "&amp;B2 &amp; IF(D2&gt;0," "&amp;FIXED(L2,0)&amp;"X"&amp;FIXED(M2,0),"")</f>
        <v>TATSUTA Copper Shield PC3100-C</v>
      </c>
      <c r="B2" s="53" t="str">
        <f>N2 &amp; " " &amp; O2</f>
        <v>Copper Shield PC3100-C</v>
      </c>
      <c r="C2" s="53" t="str">
        <f>IF(OR(A2=A3,A2=A1),"Dupe","--")</f>
        <v>--</v>
      </c>
      <c r="D2" s="53">
        <v>0</v>
      </c>
      <c r="E2" s="53" t="s">
        <v>449</v>
      </c>
      <c r="F2" s="53" t="s">
        <v>174</v>
      </c>
      <c r="G2" s="53" t="s">
        <v>295</v>
      </c>
      <c r="H2" s="53">
        <v>5.0000000000000001E-3</v>
      </c>
      <c r="I2" s="53">
        <v>5.4999999999999997E-3</v>
      </c>
      <c r="J2" s="53">
        <v>8.9999999999999993E-3</v>
      </c>
      <c r="K2" s="54">
        <v>2.8</v>
      </c>
      <c r="L2" s="137">
        <v>250</v>
      </c>
      <c r="M2" s="53">
        <v>0</v>
      </c>
      <c r="N2" s="138" t="s">
        <v>176</v>
      </c>
      <c r="O2" s="138" t="s">
        <v>317</v>
      </c>
      <c r="P2" s="138" t="b">
        <v>0</v>
      </c>
      <c r="Q2" s="138" t="b">
        <v>0</v>
      </c>
      <c r="R2" s="138" t="b">
        <v>0</v>
      </c>
      <c r="S2" s="138" t="b">
        <v>0</v>
      </c>
      <c r="T2" s="54">
        <v>0</v>
      </c>
      <c r="U2" s="53" t="s">
        <v>161</v>
      </c>
      <c r="V2" s="53">
        <v>0</v>
      </c>
      <c r="W2" s="53">
        <v>1</v>
      </c>
      <c r="X2" s="59" t="s">
        <v>74</v>
      </c>
      <c r="Y2" s="138">
        <f>J2</f>
        <v>8.9999999999999993E-3</v>
      </c>
      <c r="Z2" s="138"/>
      <c r="AA2" s="139"/>
      <c r="AB2" s="138"/>
    </row>
    <row r="3" spans="1:28" s="53" customFormat="1">
      <c r="A3" s="52" t="str">
        <f>F3&amp;" "&amp;B3 &amp; IF(D3&gt;0," "&amp;FIXED(L3,0)&amp;"X"&amp;FIXED(M3,0),"")</f>
        <v>TATSUTA Copper Shield PC3300-C</v>
      </c>
      <c r="B3" s="53" t="str">
        <f>N3 &amp; " " &amp; O3</f>
        <v>Copper Shield PC3300-C</v>
      </c>
      <c r="C3" s="53" t="str">
        <f t="shared" ref="C3:C6" si="0">IF(OR(A3=A4,A3=A2),"Dupe","--")</f>
        <v>--</v>
      </c>
      <c r="D3" s="53">
        <v>0</v>
      </c>
      <c r="E3" s="53" t="s">
        <v>449</v>
      </c>
      <c r="F3" s="53" t="s">
        <v>174</v>
      </c>
      <c r="G3" s="53" t="s">
        <v>295</v>
      </c>
      <c r="H3" s="53">
        <v>6.0000000000000001E-3</v>
      </c>
      <c r="I3" s="53">
        <v>2E-3</v>
      </c>
      <c r="J3" s="53">
        <v>4.0000000000000001E-3</v>
      </c>
      <c r="K3" s="54">
        <v>2.8</v>
      </c>
      <c r="L3" s="137">
        <v>250</v>
      </c>
      <c r="M3" s="53">
        <v>0</v>
      </c>
      <c r="N3" s="138" t="s">
        <v>176</v>
      </c>
      <c r="O3" s="138" t="s">
        <v>318</v>
      </c>
      <c r="P3" s="138" t="b">
        <v>0</v>
      </c>
      <c r="Q3" s="138" t="b">
        <v>0</v>
      </c>
      <c r="R3" s="138" t="b">
        <v>0</v>
      </c>
      <c r="S3" s="138" t="b">
        <v>0</v>
      </c>
      <c r="T3" s="54">
        <v>0</v>
      </c>
      <c r="U3" s="53" t="s">
        <v>161</v>
      </c>
      <c r="V3" s="53">
        <v>0</v>
      </c>
      <c r="W3" s="53">
        <v>1</v>
      </c>
      <c r="X3" s="59" t="s">
        <v>74</v>
      </c>
      <c r="Y3" s="138">
        <f>J3</f>
        <v>4.0000000000000001E-3</v>
      </c>
      <c r="Z3" s="138"/>
      <c r="AA3" s="140"/>
      <c r="AB3" s="138"/>
    </row>
    <row r="4" spans="1:28" s="53" customFormat="1">
      <c r="A4" s="52" t="str">
        <f>F4&amp;" "&amp;B4 &amp; IF(D4&gt;0," "&amp;FIXED(L4,0)&amp;"X"&amp;FIXED(M4,0),"")</f>
        <v>TATSUTA Copper Shield PC3500-C</v>
      </c>
      <c r="B4" s="53" t="str">
        <f>N4 &amp; " " &amp; O4</f>
        <v>Copper Shield PC3500-C</v>
      </c>
      <c r="C4" s="53" t="str">
        <f t="shared" si="0"/>
        <v>--</v>
      </c>
      <c r="D4" s="53">
        <v>0</v>
      </c>
      <c r="E4" s="53" t="s">
        <v>449</v>
      </c>
      <c r="F4" s="53" t="s">
        <v>174</v>
      </c>
      <c r="G4" s="53" t="s">
        <v>295</v>
      </c>
      <c r="H4" s="53">
        <v>6.0000000000000001E-3</v>
      </c>
      <c r="I4" s="53">
        <v>2E-3</v>
      </c>
      <c r="J4" s="53">
        <v>3.0000000000000001E-3</v>
      </c>
      <c r="K4" s="54">
        <v>2.8</v>
      </c>
      <c r="L4" s="137">
        <v>250</v>
      </c>
      <c r="M4" s="53">
        <v>0</v>
      </c>
      <c r="N4" s="138" t="s">
        <v>176</v>
      </c>
      <c r="O4" s="138" t="s">
        <v>319</v>
      </c>
      <c r="P4" s="138" t="b">
        <v>0</v>
      </c>
      <c r="Q4" s="138" t="b">
        <v>0</v>
      </c>
      <c r="R4" s="138" t="b">
        <v>0</v>
      </c>
      <c r="S4" s="138" t="b">
        <v>0</v>
      </c>
      <c r="T4" s="54">
        <v>0</v>
      </c>
      <c r="U4" s="53" t="s">
        <v>161</v>
      </c>
      <c r="V4" s="53">
        <v>0</v>
      </c>
      <c r="W4" s="53">
        <v>1</v>
      </c>
      <c r="X4" s="59" t="s">
        <v>74</v>
      </c>
      <c r="Y4" s="138">
        <f>J4</f>
        <v>3.0000000000000001E-3</v>
      </c>
      <c r="Z4" s="138"/>
      <c r="AA4" s="140"/>
      <c r="AB4" s="138"/>
    </row>
    <row r="5" spans="1:28" s="53" customFormat="1">
      <c r="A5" s="52" t="str">
        <f>F5&amp;" "&amp;B5 &amp; IF(D5&gt;0," "&amp;FIXED(L5,0)&amp;"X"&amp;FIXED(M5,0),"")</f>
        <v>TATSUTA Silver Shield PC5600</v>
      </c>
      <c r="B5" s="53" t="str">
        <f>N5 &amp; " " &amp; O5</f>
        <v>Silver Shield PC5600</v>
      </c>
      <c r="C5" s="53" t="str">
        <f t="shared" si="0"/>
        <v>--</v>
      </c>
      <c r="D5" s="53">
        <v>0</v>
      </c>
      <c r="E5" s="53" t="s">
        <v>449</v>
      </c>
      <c r="F5" s="53" t="s">
        <v>174</v>
      </c>
      <c r="G5" s="53" t="s">
        <v>295</v>
      </c>
      <c r="H5" s="53">
        <v>5.0000000000000001E-3</v>
      </c>
      <c r="I5" s="53">
        <v>0</v>
      </c>
      <c r="J5" s="53">
        <v>0.01</v>
      </c>
      <c r="K5" s="54">
        <v>1.4</v>
      </c>
      <c r="L5" s="137">
        <v>250</v>
      </c>
      <c r="M5" s="53">
        <v>0</v>
      </c>
      <c r="N5" s="138" t="s">
        <v>177</v>
      </c>
      <c r="O5" s="138" t="s">
        <v>320</v>
      </c>
      <c r="P5" s="138" t="b">
        <v>0</v>
      </c>
      <c r="Q5" s="138" t="b">
        <v>0</v>
      </c>
      <c r="R5" s="138" t="b">
        <v>0</v>
      </c>
      <c r="S5" s="138" t="b">
        <v>0</v>
      </c>
      <c r="T5" s="54">
        <v>0</v>
      </c>
      <c r="U5" s="53" t="s">
        <v>161</v>
      </c>
      <c r="V5" s="53">
        <v>0</v>
      </c>
      <c r="W5" s="53">
        <v>1</v>
      </c>
      <c r="X5" s="59" t="s">
        <v>74</v>
      </c>
      <c r="Y5" s="138">
        <f>J5</f>
        <v>0.01</v>
      </c>
      <c r="Z5" s="138"/>
      <c r="AA5" s="140"/>
      <c r="AB5" s="138"/>
    </row>
    <row r="6" spans="1:28" s="53" customFormat="1">
      <c r="A6" s="52" t="str">
        <f>F6&amp;" "&amp;B6 &amp; IF(D6&gt;0," "&amp;FIXED(L6,0)&amp;"X"&amp;FIXED(M6,0),"")</f>
        <v>TATSUTA Silver Shield PC5900</v>
      </c>
      <c r="B6" s="53" t="str">
        <f>N6 &amp; " " &amp; O6</f>
        <v>Silver Shield PC5900</v>
      </c>
      <c r="C6" s="53" t="str">
        <f t="shared" si="0"/>
        <v>--</v>
      </c>
      <c r="D6" s="53">
        <v>0</v>
      </c>
      <c r="E6" s="53" t="s">
        <v>449</v>
      </c>
      <c r="F6" s="53" t="s">
        <v>174</v>
      </c>
      <c r="G6" s="53" t="s">
        <v>295</v>
      </c>
      <c r="H6" s="53">
        <v>5.0000000000000001E-3</v>
      </c>
      <c r="I6" s="53">
        <v>0</v>
      </c>
      <c r="J6" s="53">
        <v>3.0000000000000001E-3</v>
      </c>
      <c r="K6" s="54">
        <v>1.4</v>
      </c>
      <c r="L6" s="137">
        <v>250</v>
      </c>
      <c r="M6" s="53">
        <v>0</v>
      </c>
      <c r="N6" s="138" t="s">
        <v>177</v>
      </c>
      <c r="O6" s="138" t="s">
        <v>321</v>
      </c>
      <c r="P6" s="138" t="b">
        <v>0</v>
      </c>
      <c r="Q6" s="138" t="b">
        <v>0</v>
      </c>
      <c r="R6" s="138" t="b">
        <v>0</v>
      </c>
      <c r="S6" s="138" t="b">
        <v>0</v>
      </c>
      <c r="T6" s="54">
        <v>0</v>
      </c>
      <c r="U6" s="53" t="s">
        <v>161</v>
      </c>
      <c r="V6" s="53">
        <v>0</v>
      </c>
      <c r="W6" s="53">
        <v>1</v>
      </c>
      <c r="X6" s="59" t="s">
        <v>74</v>
      </c>
      <c r="Y6" s="138">
        <f>J6</f>
        <v>3.0000000000000001E-3</v>
      </c>
      <c r="Z6" s="138"/>
      <c r="AA6" s="140"/>
      <c r="AB6" s="138"/>
    </row>
  </sheetData>
  <conditionalFormatting sqref="AA2:AA3">
    <cfRule type="expression" dxfId="88" priority="35" stopIfTrue="1">
      <formula>AND(COUNTIF($Z$2:$Z$3, A1)&gt;1,NOT(ISBLANK(A1)))</formula>
    </cfRule>
  </conditionalFormatting>
  <conditionalFormatting sqref="Z2:Z3">
    <cfRule type="expression" dxfId="87" priority="36" stopIfTrue="1">
      <formula>AND(COUNTIF($Z$3:$Z$5, A1)&gt;1,NOT(ISBLANK(A1)))</formula>
    </cfRule>
  </conditionalFormatting>
  <conditionalFormatting sqref="AA4:AA6">
    <cfRule type="expression" dxfId="86" priority="30" stopIfTrue="1">
      <formula>AND(COUNTIF($Z$2:$Z$3, A1)&gt;1,NOT(ISBLANK(A1)))</formula>
    </cfRule>
  </conditionalFormatting>
  <conditionalFormatting sqref="Z4:Z6">
    <cfRule type="expression" dxfId="85" priority="31" stopIfTrue="1">
      <formula>AND(COUNTIF($Z$3:$Z$5, A1)&gt;1,NOT(ISBLANK(A1)))</formula>
    </cfRule>
  </conditionalFormatting>
  <conditionalFormatting sqref="J1:M1">
    <cfRule type="cellIs" dxfId="84" priority="1" stopIfTrue="1" operator="equal">
      <formula>"TBA"</formula>
    </cfRule>
    <cfRule type="cellIs" dxfId="83" priority="2" stopIfTrue="1" operator="equal">
      <formula>"Unknown"</formula>
    </cfRule>
  </conditionalFormatting>
  <conditionalFormatting sqref="X1">
    <cfRule type="cellIs" dxfId="82" priority="10" stopIfTrue="1" operator="equal">
      <formula>"TBA"</formula>
    </cfRule>
    <cfRule type="cellIs" dxfId="81" priority="11" stopIfTrue="1" operator="equal">
      <formula>"Unknown"</formula>
    </cfRule>
  </conditionalFormatting>
  <conditionalFormatting sqref="Z1:AB1">
    <cfRule type="cellIs" dxfId="80" priority="8" stopIfTrue="1" operator="equal">
      <formula>"TBA"</formula>
    </cfRule>
    <cfRule type="cellIs" dxfId="79" priority="9" stopIfTrue="1" operator="equal">
      <formula>"Unknown"</formula>
    </cfRule>
  </conditionalFormatting>
  <conditionalFormatting sqref="F1">
    <cfRule type="cellIs" dxfId="78" priority="6" stopIfTrue="1" operator="equal">
      <formula>"TBA"</formula>
    </cfRule>
    <cfRule type="cellIs" dxfId="77" priority="7" stopIfTrue="1" operator="equal">
      <formula>"Unknown"</formula>
    </cfRule>
  </conditionalFormatting>
  <conditionalFormatting sqref="C1">
    <cfRule type="cellIs" dxfId="76" priority="5" stopIfTrue="1" operator="equal">
      <formula>"Unknown"</formula>
    </cfRule>
  </conditionalFormatting>
  <conditionalFormatting sqref="G1:I1">
    <cfRule type="cellIs" dxfId="75" priority="3" stopIfTrue="1" operator="equal">
      <formula>"TBA"</formula>
    </cfRule>
    <cfRule type="cellIs" dxfId="74" priority="4" stopIfTrue="1" operator="equal">
      <formula>"Unknown"</formula>
    </cfRule>
  </conditionalFormatting>
  <dataValidations count="3">
    <dataValidation type="list" allowBlank="1" showErrorMessage="1" sqref="X7:X74">
      <formula1>"'false,'true"</formula1>
      <formula2>0</formula2>
    </dataValidation>
    <dataValidation type="list" allowBlank="1" showErrorMessage="1" sqref="X2:X6">
      <formula1>"false,true"</formula1>
    </dataValidation>
    <dataValidation type="list" allowBlank="1" showInputMessage="1" showErrorMessage="1" sqref="E2:E6">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Enums!$N$4:$N$27</xm:f>
          </x14:formula1>
          <xm:sqref>F2:F6</xm:sqref>
        </x14:dataValidation>
        <x14:dataValidation type="list" allowBlank="1" showErrorMessage="1">
          <x14:formula1>
            <xm:f>Enums!$D$4:$D$9</xm:f>
          </x14:formula1>
          <xm:sqref>U2:U6</xm:sqref>
        </x14:dataValidation>
        <x14:dataValidation type="list" allowBlank="1" showInputMessage="1" showErrorMessage="1">
          <x14:formula1>
            <xm:f>Enums!$L$6:$L$26</xm:f>
          </x14:formula1>
          <xm:sqref>G2:G6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B4"/>
  <sheetViews>
    <sheetView zoomScaleNormal="100" workbookViewId="0">
      <selection activeCell="I29" sqref="I29"/>
    </sheetView>
  </sheetViews>
  <sheetFormatPr defaultColWidth="11.42578125" defaultRowHeight="13.5"/>
  <cols>
    <col min="1" max="1" width="32.5703125" style="53" bestFit="1" customWidth="1"/>
    <col min="2" max="2" width="22" style="53" customWidth="1"/>
    <col min="3" max="4" width="7" style="53" bestFit="1" customWidth="1"/>
    <col min="5" max="5" width="17.140625" style="53" customWidth="1"/>
    <col min="6" max="6" width="9.42578125" style="53" bestFit="1" customWidth="1"/>
    <col min="7" max="7" width="11.7109375" style="53" bestFit="1" customWidth="1"/>
    <col min="8" max="8" width="18.5703125" style="53" bestFit="1" customWidth="1"/>
    <col min="9" max="9" width="19.5703125" style="53" bestFit="1" customWidth="1"/>
    <col min="10" max="10" width="10.28515625" style="53" bestFit="1" customWidth="1"/>
    <col min="11" max="11" width="11.7109375" style="53" bestFit="1" customWidth="1"/>
    <col min="12" max="12" width="12.42578125" style="53" bestFit="1" customWidth="1"/>
    <col min="13" max="13" width="12.28515625" style="53" bestFit="1" customWidth="1"/>
    <col min="14" max="14" width="13.5703125" style="53" bestFit="1" customWidth="1"/>
    <col min="15" max="15" width="16.5703125" style="53" bestFit="1" customWidth="1"/>
    <col min="16" max="16" width="9.85546875" style="53" bestFit="1" customWidth="1"/>
    <col min="17" max="17" width="12.28515625" style="53" bestFit="1" customWidth="1"/>
    <col min="18" max="19" width="11" style="53" bestFit="1" customWidth="1"/>
    <col min="20" max="20" width="18.28515625" style="53" bestFit="1" customWidth="1"/>
    <col min="21" max="21" width="24.42578125" style="53" bestFit="1" customWidth="1"/>
    <col min="22" max="22" width="13.42578125" style="57" bestFit="1" customWidth="1"/>
    <col min="23" max="23" width="23.140625" style="56" bestFit="1" customWidth="1"/>
    <col min="24" max="24" width="9.5703125" style="53" bestFit="1" customWidth="1"/>
    <col min="25" max="25" width="15.42578125"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315</v>
      </c>
      <c r="I1" s="134" t="s">
        <v>316</v>
      </c>
      <c r="J1" s="134" t="s">
        <v>17</v>
      </c>
      <c r="K1" s="134" t="s">
        <v>54</v>
      </c>
      <c r="L1" s="134" t="s">
        <v>26</v>
      </c>
      <c r="M1" s="134" t="s">
        <v>27</v>
      </c>
      <c r="N1" s="152" t="s">
        <v>372</v>
      </c>
      <c r="O1" s="152" t="s">
        <v>459</v>
      </c>
      <c r="P1" s="152" t="s">
        <v>267</v>
      </c>
      <c r="Q1" s="152" t="s">
        <v>268</v>
      </c>
      <c r="R1" s="152" t="s">
        <v>269</v>
      </c>
      <c r="S1" s="152" t="s">
        <v>270</v>
      </c>
      <c r="T1" s="152" t="s">
        <v>167</v>
      </c>
      <c r="U1" s="152" t="s">
        <v>313</v>
      </c>
      <c r="V1" s="152" t="s">
        <v>44</v>
      </c>
      <c r="W1" s="152" t="s">
        <v>45</v>
      </c>
      <c r="X1" s="155" t="s">
        <v>25</v>
      </c>
      <c r="Y1" s="147" t="s">
        <v>355</v>
      </c>
      <c r="Z1" s="155" t="s">
        <v>22</v>
      </c>
      <c r="AA1" s="155" t="s">
        <v>23</v>
      </c>
      <c r="AB1" s="155" t="s">
        <v>24</v>
      </c>
    </row>
    <row r="2" spans="1:28" s="53" customFormat="1">
      <c r="A2" s="52" t="str">
        <f>IF(U2="Unknown","F2",U2) &amp; IF(J2&gt;0," " &amp; FIXED(J2,1),"")&amp; IF(D2&gt;0," "&amp;FIXED(L2,0)&amp;"X"&amp;FIXED(M2,0),"")</f>
        <v>SUS Stiffener 10.0</v>
      </c>
      <c r="B2" s="53" t="str">
        <f>IF(U2="SUS Stiffener"," SUS",IF(U2="FR4 Stiffener"," FR4","")) &amp; IF(J2&gt;0," " &amp; FIXED(J2,1),"")</f>
        <v xml:space="preserve"> SUS 10.0</v>
      </c>
      <c r="C2" s="53" t="str">
        <f>IF(OR(A2=A3,A2=A1),"Dupe","--")</f>
        <v>--</v>
      </c>
      <c r="D2" s="53">
        <v>0</v>
      </c>
      <c r="E2" s="53" t="s">
        <v>357</v>
      </c>
      <c r="F2" s="53" t="s">
        <v>206</v>
      </c>
      <c r="G2" s="53" t="s">
        <v>295</v>
      </c>
      <c r="H2" s="59" t="b">
        <v>0</v>
      </c>
      <c r="I2" s="59" t="b">
        <v>1</v>
      </c>
      <c r="J2" s="54">
        <v>10</v>
      </c>
      <c r="K2" s="55">
        <v>3.2</v>
      </c>
      <c r="L2" s="137">
        <v>24</v>
      </c>
      <c r="M2" s="53">
        <v>18</v>
      </c>
      <c r="N2" s="53" t="s">
        <v>327</v>
      </c>
      <c r="O2" s="53" t="s">
        <v>311</v>
      </c>
      <c r="P2" s="53" t="b">
        <v>0</v>
      </c>
      <c r="Q2" s="53" t="b">
        <v>0</v>
      </c>
      <c r="R2" s="53" t="b">
        <v>1</v>
      </c>
      <c r="S2" s="53" t="b">
        <v>1</v>
      </c>
      <c r="T2" s="55">
        <v>0</v>
      </c>
      <c r="U2" s="53" t="s">
        <v>314</v>
      </c>
      <c r="V2" s="53">
        <v>0</v>
      </c>
      <c r="W2" s="53">
        <v>1</v>
      </c>
      <c r="X2" s="59" t="b">
        <v>0</v>
      </c>
      <c r="Y2" s="54">
        <f>J2</f>
        <v>10</v>
      </c>
      <c r="Z2" s="138"/>
      <c r="AA2" s="139"/>
      <c r="AB2" s="138"/>
    </row>
    <row r="3" spans="1:28" s="53" customFormat="1">
      <c r="A3" s="52" t="str">
        <f>IF(U3="Unknown","F2",U3) &amp; IF(J3&gt;0," " &amp; FIXED(J3,1),"")&amp; IF(D3&gt;0," "&amp;FIXED(L3,0)&amp;"X"&amp;FIXED(M3,0),"")</f>
        <v>SUS Stiffener 15.0</v>
      </c>
      <c r="B3" s="53" t="str">
        <f>IF(U3="SUS Stiffener"," SUS",IF(U3="FR4 Stiffener"," FR4","")) &amp; IF(J3&gt;0," " &amp; FIXED(J3,1),"")</f>
        <v xml:space="preserve"> SUS 15.0</v>
      </c>
      <c r="C3" s="53" t="str">
        <f>IF(OR(A3=A4,A3=A2),"Dupe","--")</f>
        <v>--</v>
      </c>
      <c r="D3" s="53">
        <v>0</v>
      </c>
      <c r="E3" s="53" t="s">
        <v>357</v>
      </c>
      <c r="F3" s="53" t="s">
        <v>206</v>
      </c>
      <c r="G3" s="53" t="s">
        <v>295</v>
      </c>
      <c r="H3" s="59" t="b">
        <v>0</v>
      </c>
      <c r="I3" s="59" t="b">
        <v>1</v>
      </c>
      <c r="J3" s="54">
        <v>15</v>
      </c>
      <c r="K3" s="55">
        <v>3.2</v>
      </c>
      <c r="L3" s="137">
        <v>24</v>
      </c>
      <c r="M3" s="53">
        <v>18</v>
      </c>
      <c r="N3" s="53" t="s">
        <v>327</v>
      </c>
      <c r="O3" s="53" t="s">
        <v>312</v>
      </c>
      <c r="P3" s="53" t="b">
        <v>0</v>
      </c>
      <c r="Q3" s="53" t="b">
        <v>0</v>
      </c>
      <c r="R3" s="53" t="b">
        <v>1</v>
      </c>
      <c r="S3" s="53" t="b">
        <v>1</v>
      </c>
      <c r="T3" s="55">
        <v>0</v>
      </c>
      <c r="U3" s="53" t="s">
        <v>314</v>
      </c>
      <c r="V3" s="53">
        <v>0</v>
      </c>
      <c r="W3" s="53">
        <v>1</v>
      </c>
      <c r="X3" s="59" t="b">
        <v>0</v>
      </c>
      <c r="Y3" s="54">
        <f>J3</f>
        <v>15</v>
      </c>
      <c r="Z3" s="138"/>
      <c r="AA3" s="140"/>
      <c r="AB3" s="138"/>
    </row>
    <row r="4" spans="1:28">
      <c r="H4" s="59"/>
    </row>
  </sheetData>
  <conditionalFormatting sqref="L1:M1">
    <cfRule type="cellIs" dxfId="73" priority="34" stopIfTrue="1" operator="equal">
      <formula>"TBA"</formula>
    </cfRule>
    <cfRule type="cellIs" dxfId="72" priority="35" stopIfTrue="1" operator="equal">
      <formula>"Unknown"</formula>
    </cfRule>
  </conditionalFormatting>
  <conditionalFormatting sqref="AA2:AA3">
    <cfRule type="expression" dxfId="71" priority="37" stopIfTrue="1">
      <formula>AND(COUNTIF($Z$2:$Z$3, A1)&gt;1,NOT(ISBLANK(A1)))</formula>
    </cfRule>
  </conditionalFormatting>
  <conditionalFormatting sqref="Z2:Z3">
    <cfRule type="expression" dxfId="70" priority="72" stopIfTrue="1">
      <formula>AND(COUNTIF($Z$3:$Z$3, A1)&gt;1,NOT(ISBLANK(A1)))</formula>
    </cfRule>
  </conditionalFormatting>
  <conditionalFormatting sqref="F1">
    <cfRule type="cellIs" dxfId="69" priority="8" stopIfTrue="1" operator="equal">
      <formula>"TBA"</formula>
    </cfRule>
    <cfRule type="cellIs" dxfId="68" priority="9" stopIfTrue="1" operator="equal">
      <formula>"Unknown"</formula>
    </cfRule>
  </conditionalFormatting>
  <conditionalFormatting sqref="C1">
    <cfRule type="cellIs" dxfId="67" priority="7" stopIfTrue="1" operator="equal">
      <formula>"Unknown"</formula>
    </cfRule>
  </conditionalFormatting>
  <conditionalFormatting sqref="G1:K1">
    <cfRule type="cellIs" dxfId="66" priority="5" stopIfTrue="1" operator="equal">
      <formula>"TBA"</formula>
    </cfRule>
    <cfRule type="cellIs" dxfId="65" priority="6" stopIfTrue="1" operator="equal">
      <formula>"Unknown"</formula>
    </cfRule>
  </conditionalFormatting>
  <conditionalFormatting sqref="X1">
    <cfRule type="cellIs" dxfId="64" priority="3" stopIfTrue="1" operator="equal">
      <formula>"TBA"</formula>
    </cfRule>
    <cfRule type="cellIs" dxfId="63" priority="4" stopIfTrue="1" operator="equal">
      <formula>"Unknown"</formula>
    </cfRule>
  </conditionalFormatting>
  <conditionalFormatting sqref="Z1:AB1">
    <cfRule type="cellIs" dxfId="62" priority="1" stopIfTrue="1" operator="equal">
      <formula>"TBA"</formula>
    </cfRule>
    <cfRule type="cellIs" dxfId="61" priority="2" stopIfTrue="1" operator="equal">
      <formula>"Unknown"</formula>
    </cfRule>
  </conditionalFormatting>
  <dataValidations count="3">
    <dataValidation type="list" allowBlank="1" showErrorMessage="1" sqref="H2:I3 X2:X3">
      <formula1>"FALSE,TRUE"</formula1>
    </dataValidation>
    <dataValidation type="list" allowBlank="1" showErrorMessage="1" sqref="X4:X68">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Enums!$J$4:$J$10</xm:f>
          </x14:formula1>
          <xm:sqref>U2:U3</xm:sqref>
        </x14:dataValidation>
        <x14:dataValidation type="list" allowBlank="1" showInputMessage="1" showErrorMessage="1">
          <x14:formula1>
            <xm:f>Enums!$N$4:$N$27</xm:f>
          </x14:formula1>
          <xm:sqref>F2:F12</xm:sqref>
        </x14:dataValidation>
        <x14:dataValidation type="list" allowBlank="1" showInputMessage="1" showErrorMessage="1">
          <x14:formula1>
            <xm:f>Enums!$L$6:$L$26</xm:f>
          </x14:formula1>
          <xm:sqref>G2:G3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tabColor rgb="FFFFFF00"/>
  </sheetPr>
  <dimension ref="A1:J210"/>
  <sheetViews>
    <sheetView showWhiteSpace="0" zoomScaleNormal="100" workbookViewId="0">
      <pane xSplit="10" ySplit="1" topLeftCell="K2" activePane="bottomRight" state="frozen"/>
      <selection activeCell="J34" sqref="J34"/>
      <selection pane="topRight" activeCell="J34" sqref="J34"/>
      <selection pane="bottomLeft" activeCell="J34" sqref="J34"/>
      <selection pane="bottomRight" activeCell="D144" sqref="D144"/>
    </sheetView>
  </sheetViews>
  <sheetFormatPr defaultColWidth="17.42578125" defaultRowHeight="12.75"/>
  <cols>
    <col min="1" max="1" width="21.85546875" style="6" customWidth="1"/>
    <col min="2" max="2" width="21.42578125" style="6" bestFit="1" customWidth="1"/>
    <col min="3" max="3" width="11.28515625" style="6" bestFit="1" customWidth="1"/>
    <col min="4" max="4" width="35.140625" style="7" customWidth="1"/>
    <col min="5" max="5" width="13.5703125" style="6" customWidth="1"/>
    <col min="6" max="6" width="16.5703125" style="7" bestFit="1" customWidth="1"/>
    <col min="7" max="7" width="46.28515625" style="6" bestFit="1" customWidth="1"/>
    <col min="8" max="8" width="18.7109375" style="1" customWidth="1"/>
    <col min="9" max="9" width="21.5703125" style="1" bestFit="1" customWidth="1"/>
    <col min="10" max="16384" width="17.42578125" style="1"/>
  </cols>
  <sheetData>
    <row r="1" spans="1:10" ht="16.5" customHeight="1">
      <c r="A1" s="200" t="s">
        <v>78</v>
      </c>
      <c r="B1" s="200" t="s">
        <v>81</v>
      </c>
      <c r="C1" s="200" t="s">
        <v>79</v>
      </c>
      <c r="D1" s="211" t="s">
        <v>80</v>
      </c>
      <c r="E1" s="201" t="s">
        <v>25</v>
      </c>
      <c r="F1" s="212" t="s">
        <v>83</v>
      </c>
      <c r="G1" s="201" t="s">
        <v>82</v>
      </c>
      <c r="H1" s="184" t="s">
        <v>476</v>
      </c>
      <c r="I1" s="184" t="s">
        <v>477</v>
      </c>
    </row>
    <row r="2" spans="1:10">
      <c r="A2" s="202" t="s">
        <v>1498</v>
      </c>
      <c r="B2" s="202" t="str">
        <f>A2</f>
        <v>001-CHK-D</v>
      </c>
      <c r="C2" s="203" t="s">
        <v>537</v>
      </c>
      <c r="D2" s="209" t="s">
        <v>1792</v>
      </c>
      <c r="E2" s="204" t="s">
        <v>74</v>
      </c>
      <c r="F2" s="205"/>
      <c r="G2" s="206" t="s">
        <v>1495</v>
      </c>
      <c r="H2" s="207" t="s">
        <v>478</v>
      </c>
      <c r="I2" s="207" t="str">
        <f t="shared" ref="I2:I33" si="0">B2 &amp; "_" &amp; A2</f>
        <v>001-CHK-D_001-CHK-D</v>
      </c>
    </row>
    <row r="3" spans="1:10">
      <c r="A3" s="361" t="s">
        <v>1499</v>
      </c>
      <c r="B3" s="202" t="str">
        <f t="shared" ref="B3:B66" si="1">A3</f>
        <v>010-MAT-D</v>
      </c>
      <c r="C3" s="203" t="s">
        <v>537</v>
      </c>
      <c r="D3" s="209" t="s">
        <v>1646</v>
      </c>
      <c r="E3" s="204" t="s">
        <v>74</v>
      </c>
      <c r="F3" s="205"/>
      <c r="G3" s="206" t="s">
        <v>1495</v>
      </c>
      <c r="H3" s="207" t="s">
        <v>478</v>
      </c>
      <c r="I3" s="207" t="str">
        <f t="shared" si="0"/>
        <v>010-MAT-D_010-MAT-D</v>
      </c>
      <c r="J3" s="1">
        <v>1</v>
      </c>
    </row>
    <row r="4" spans="1:10" hidden="1">
      <c r="A4" s="202" t="s">
        <v>1500</v>
      </c>
      <c r="B4" s="202" t="str">
        <f t="shared" si="1"/>
        <v>011-CLC-D</v>
      </c>
      <c r="C4" s="203" t="s">
        <v>537</v>
      </c>
      <c r="D4" s="209" t="s">
        <v>1647</v>
      </c>
      <c r="E4" s="204" t="s">
        <v>1805</v>
      </c>
      <c r="F4" s="205"/>
      <c r="G4" s="206" t="s">
        <v>1495</v>
      </c>
      <c r="H4" s="207" t="s">
        <v>478</v>
      </c>
      <c r="I4" s="207" t="str">
        <f t="shared" si="0"/>
        <v>011-CLC-D_011-CLC-D</v>
      </c>
    </row>
    <row r="5" spans="1:10">
      <c r="A5" s="202" t="s">
        <v>1501</v>
      </c>
      <c r="B5" s="202" t="str">
        <f t="shared" si="1"/>
        <v>015-PPC-D</v>
      </c>
      <c r="C5" s="203" t="s">
        <v>537</v>
      </c>
      <c r="D5" s="209" t="s">
        <v>1648</v>
      </c>
      <c r="E5" s="204" t="s">
        <v>74</v>
      </c>
      <c r="F5" s="205"/>
      <c r="G5" s="206" t="s">
        <v>1495</v>
      </c>
      <c r="H5" s="207" t="s">
        <v>478</v>
      </c>
      <c r="I5" s="207" t="str">
        <f t="shared" si="0"/>
        <v>015-PPC-D_015-PPC-D</v>
      </c>
    </row>
    <row r="6" spans="1:10">
      <c r="A6" s="202" t="s">
        <v>1502</v>
      </c>
      <c r="B6" s="202" t="str">
        <f t="shared" si="1"/>
        <v>016-PPP-D</v>
      </c>
      <c r="C6" s="203" t="s">
        <v>537</v>
      </c>
      <c r="D6" s="209" t="s">
        <v>1649</v>
      </c>
      <c r="E6" s="204" t="s">
        <v>74</v>
      </c>
      <c r="F6" s="205"/>
      <c r="G6" s="206" t="s">
        <v>1495</v>
      </c>
      <c r="H6" s="207" t="s">
        <v>478</v>
      </c>
      <c r="I6" s="207" t="str">
        <f t="shared" si="0"/>
        <v>016-PPP-D_016-PPP-D</v>
      </c>
    </row>
    <row r="7" spans="1:10">
      <c r="A7" s="361" t="s">
        <v>1503</v>
      </c>
      <c r="B7" s="202" t="str">
        <f t="shared" si="1"/>
        <v>020-BAK-D</v>
      </c>
      <c r="C7" s="203" t="s">
        <v>537</v>
      </c>
      <c r="D7" s="357" t="s">
        <v>2116</v>
      </c>
      <c r="E7" s="204" t="s">
        <v>74</v>
      </c>
      <c r="F7" s="205"/>
      <c r="G7" s="206" t="s">
        <v>1495</v>
      </c>
      <c r="H7" s="207" t="s">
        <v>478</v>
      </c>
      <c r="I7" s="207" t="str">
        <f t="shared" si="0"/>
        <v>020-BAK-D_020-BAK-D</v>
      </c>
      <c r="J7" s="1">
        <v>1</v>
      </c>
    </row>
    <row r="8" spans="1:10" hidden="1">
      <c r="A8" s="202" t="s">
        <v>1404</v>
      </c>
      <c r="B8" s="202" t="str">
        <f t="shared" ref="B8" si="2">A8</f>
        <v>022-BAK-D</v>
      </c>
      <c r="C8" s="203" t="s">
        <v>537</v>
      </c>
      <c r="D8" s="352" t="s">
        <v>1650</v>
      </c>
      <c r="E8" s="204" t="s">
        <v>1805</v>
      </c>
      <c r="F8" s="205"/>
      <c r="G8" s="206" t="s">
        <v>1495</v>
      </c>
      <c r="H8" s="207" t="s">
        <v>478</v>
      </c>
      <c r="I8" s="207" t="str">
        <f t="shared" ref="I8" si="3">B8 &amp; "_" &amp; A8</f>
        <v>022-BAK-D_022-BAK-D</v>
      </c>
    </row>
    <row r="9" spans="1:10" hidden="1">
      <c r="A9" s="202" t="s">
        <v>1504</v>
      </c>
      <c r="B9" s="202" t="str">
        <f t="shared" si="1"/>
        <v>021-BAK-D</v>
      </c>
      <c r="C9" s="203" t="s">
        <v>537</v>
      </c>
      <c r="D9" s="304" t="s">
        <v>1806</v>
      </c>
      <c r="E9" s="204" t="s">
        <v>1805</v>
      </c>
      <c r="F9" s="205"/>
      <c r="G9" s="206" t="s">
        <v>1495</v>
      </c>
      <c r="H9" s="207" t="s">
        <v>478</v>
      </c>
      <c r="I9" s="207" t="str">
        <f t="shared" si="0"/>
        <v>021-BAK-D_021-BAK-D</v>
      </c>
    </row>
    <row r="10" spans="1:10" hidden="1">
      <c r="A10" s="202" t="s">
        <v>1405</v>
      </c>
      <c r="B10" s="202" t="str">
        <f t="shared" si="1"/>
        <v>031-ODFI-D</v>
      </c>
      <c r="C10" s="203" t="s">
        <v>537</v>
      </c>
      <c r="D10" s="209" t="s">
        <v>1439</v>
      </c>
      <c r="E10" s="204" t="s">
        <v>1805</v>
      </c>
      <c r="F10" s="205"/>
      <c r="G10" s="206" t="s">
        <v>1495</v>
      </c>
      <c r="H10" s="207" t="s">
        <v>478</v>
      </c>
      <c r="I10" s="207" t="str">
        <f t="shared" si="0"/>
        <v>031-ODFI-D_031-ODFI-D</v>
      </c>
    </row>
    <row r="11" spans="1:10">
      <c r="A11" s="361" t="s">
        <v>1505</v>
      </c>
      <c r="B11" s="202" t="str">
        <f t="shared" ref="B11" si="4">A11</f>
        <v>030-DFI-D</v>
      </c>
      <c r="C11" s="203" t="s">
        <v>537</v>
      </c>
      <c r="D11" s="357" t="s">
        <v>2117</v>
      </c>
      <c r="E11" s="204" t="s">
        <v>74</v>
      </c>
      <c r="F11" s="205"/>
      <c r="G11" s="206" t="s">
        <v>1495</v>
      </c>
      <c r="H11" s="207" t="s">
        <v>478</v>
      </c>
      <c r="I11" s="207" t="str">
        <f t="shared" ref="I11" si="5">B11 &amp; "_" &amp; A11</f>
        <v>030-DFI-D_030-DFI-D</v>
      </c>
      <c r="J11" s="1">
        <v>1</v>
      </c>
    </row>
    <row r="12" spans="1:10" hidden="1">
      <c r="A12" s="202" t="s">
        <v>1506</v>
      </c>
      <c r="B12" s="202" t="str">
        <f t="shared" si="1"/>
        <v>040-DFI-D</v>
      </c>
      <c r="C12" s="203" t="s">
        <v>537</v>
      </c>
      <c r="D12" s="352" t="s">
        <v>1651</v>
      </c>
      <c r="E12" s="204" t="s">
        <v>1805</v>
      </c>
      <c r="F12" s="205"/>
      <c r="G12" s="206" t="s">
        <v>1495</v>
      </c>
      <c r="H12" s="207" t="s">
        <v>478</v>
      </c>
      <c r="I12" s="207" t="str">
        <f t="shared" si="0"/>
        <v>040-DFI-D_040-DFI-D</v>
      </c>
    </row>
    <row r="13" spans="1:10" hidden="1">
      <c r="A13" s="202" t="s">
        <v>1507</v>
      </c>
      <c r="B13" s="202" t="str">
        <f t="shared" si="1"/>
        <v>050-DFI-D</v>
      </c>
      <c r="C13" s="203" t="s">
        <v>537</v>
      </c>
      <c r="D13" s="352" t="s">
        <v>1652</v>
      </c>
      <c r="E13" s="204" t="s">
        <v>1805</v>
      </c>
      <c r="F13" s="205"/>
      <c r="G13" s="206" t="s">
        <v>1495</v>
      </c>
      <c r="H13" s="207" t="s">
        <v>478</v>
      </c>
      <c r="I13" s="207" t="str">
        <f t="shared" si="0"/>
        <v>050-DFI-D_050-DFI-D</v>
      </c>
    </row>
    <row r="14" spans="1:10" hidden="1">
      <c r="A14" s="202" t="s">
        <v>1508</v>
      </c>
      <c r="B14" s="202" t="str">
        <f t="shared" si="1"/>
        <v>051-DFI-D</v>
      </c>
      <c r="C14" s="203" t="s">
        <v>537</v>
      </c>
      <c r="D14" s="352" t="s">
        <v>1653</v>
      </c>
      <c r="E14" s="204" t="s">
        <v>1805</v>
      </c>
      <c r="F14" s="205"/>
      <c r="G14" s="206" t="s">
        <v>1495</v>
      </c>
      <c r="H14" s="207" t="s">
        <v>478</v>
      </c>
      <c r="I14" s="207" t="str">
        <f t="shared" si="0"/>
        <v>051-DFI-D_051-DFI-D</v>
      </c>
    </row>
    <row r="15" spans="1:10" hidden="1">
      <c r="A15" s="202" t="s">
        <v>1509</v>
      </c>
      <c r="B15" s="202" t="str">
        <f t="shared" si="1"/>
        <v>052-DFI-D</v>
      </c>
      <c r="C15" s="203" t="s">
        <v>537</v>
      </c>
      <c r="D15" s="352" t="s">
        <v>1654</v>
      </c>
      <c r="E15" s="204" t="s">
        <v>1805</v>
      </c>
      <c r="F15" s="205"/>
      <c r="G15" s="206" t="s">
        <v>1495</v>
      </c>
      <c r="H15" s="207" t="s">
        <v>478</v>
      </c>
      <c r="I15" s="207" t="str">
        <f t="shared" si="0"/>
        <v>052-DFI-D_052-DFI-D</v>
      </c>
    </row>
    <row r="16" spans="1:10" hidden="1">
      <c r="A16" s="202" t="s">
        <v>1510</v>
      </c>
      <c r="B16" s="202" t="str">
        <f t="shared" si="1"/>
        <v>053-DFI-D</v>
      </c>
      <c r="C16" s="203" t="s">
        <v>537</v>
      </c>
      <c r="D16" s="352" t="s">
        <v>1655</v>
      </c>
      <c r="E16" s="204" t="s">
        <v>1805</v>
      </c>
      <c r="F16" s="205"/>
      <c r="G16" s="206" t="s">
        <v>1495</v>
      </c>
      <c r="H16" s="207" t="s">
        <v>478</v>
      </c>
      <c r="I16" s="207" t="str">
        <f t="shared" si="0"/>
        <v>053-DFI-D_053-DFI-D</v>
      </c>
    </row>
    <row r="17" spans="1:10" hidden="1">
      <c r="A17" s="202" t="s">
        <v>1511</v>
      </c>
      <c r="B17" s="202" t="str">
        <f t="shared" si="1"/>
        <v>054-DFI-D</v>
      </c>
      <c r="C17" s="203" t="s">
        <v>537</v>
      </c>
      <c r="D17" s="352" t="s">
        <v>1656</v>
      </c>
      <c r="E17" s="204" t="s">
        <v>1805</v>
      </c>
      <c r="F17" s="205"/>
      <c r="G17" s="206" t="s">
        <v>1495</v>
      </c>
      <c r="H17" s="207" t="s">
        <v>478</v>
      </c>
      <c r="I17" s="207" t="str">
        <f t="shared" si="0"/>
        <v>054-DFI-D_054-DFI-D</v>
      </c>
    </row>
    <row r="18" spans="1:10">
      <c r="A18" s="361" t="s">
        <v>1512</v>
      </c>
      <c r="B18" s="202" t="str">
        <f t="shared" si="1"/>
        <v>060-MII-D</v>
      </c>
      <c r="C18" s="203" t="s">
        <v>537</v>
      </c>
      <c r="D18" s="357" t="s">
        <v>2118</v>
      </c>
      <c r="E18" s="204" t="s">
        <v>74</v>
      </c>
      <c r="F18" s="205"/>
      <c r="G18" s="206" t="s">
        <v>1495</v>
      </c>
      <c r="H18" s="207" t="s">
        <v>478</v>
      </c>
      <c r="I18" s="207" t="str">
        <f t="shared" si="0"/>
        <v>060-MII-D_060-MII-D</v>
      </c>
      <c r="J18" s="1">
        <v>1</v>
      </c>
    </row>
    <row r="19" spans="1:10" hidden="1">
      <c r="A19" s="202" t="s">
        <v>1513</v>
      </c>
      <c r="B19" s="202" t="str">
        <f t="shared" si="1"/>
        <v>070-MII-D</v>
      </c>
      <c r="C19" s="203" t="s">
        <v>537</v>
      </c>
      <c r="D19" s="352" t="s">
        <v>1657</v>
      </c>
      <c r="E19" s="204" t="s">
        <v>1805</v>
      </c>
      <c r="F19" s="205"/>
      <c r="G19" s="206" t="s">
        <v>1495</v>
      </c>
      <c r="H19" s="207" t="s">
        <v>478</v>
      </c>
      <c r="I19" s="207" t="str">
        <f t="shared" si="0"/>
        <v>070-MII-D_070-MII-D</v>
      </c>
    </row>
    <row r="20" spans="1:10" hidden="1">
      <c r="A20" s="202" t="s">
        <v>1514</v>
      </c>
      <c r="B20" s="202" t="str">
        <f t="shared" si="1"/>
        <v>080-MII-D</v>
      </c>
      <c r="C20" s="203" t="s">
        <v>537</v>
      </c>
      <c r="D20" s="352" t="s">
        <v>1658</v>
      </c>
      <c r="E20" s="204" t="s">
        <v>1805</v>
      </c>
      <c r="F20" s="205"/>
      <c r="G20" s="206" t="s">
        <v>1495</v>
      </c>
      <c r="H20" s="207" t="s">
        <v>479</v>
      </c>
      <c r="I20" s="207" t="str">
        <f t="shared" si="0"/>
        <v>080-MII-D_080-MII-D</v>
      </c>
    </row>
    <row r="21" spans="1:10" hidden="1">
      <c r="A21" s="202" t="s">
        <v>1515</v>
      </c>
      <c r="B21" s="202" t="str">
        <f t="shared" si="1"/>
        <v>081-MII-D</v>
      </c>
      <c r="C21" s="203" t="s">
        <v>537</v>
      </c>
      <c r="D21" s="352" t="s">
        <v>1659</v>
      </c>
      <c r="E21" s="204" t="s">
        <v>1805</v>
      </c>
      <c r="F21" s="205"/>
      <c r="G21" s="206" t="s">
        <v>1495</v>
      </c>
      <c r="H21" s="207" t="s">
        <v>479</v>
      </c>
      <c r="I21" s="207" t="str">
        <f t="shared" si="0"/>
        <v>081-MII-D_081-MII-D</v>
      </c>
    </row>
    <row r="22" spans="1:10" hidden="1">
      <c r="A22" s="202" t="s">
        <v>1516</v>
      </c>
      <c r="B22" s="202" t="str">
        <f t="shared" si="1"/>
        <v>082-MII-D</v>
      </c>
      <c r="C22" s="203" t="s">
        <v>537</v>
      </c>
      <c r="D22" s="352" t="s">
        <v>1660</v>
      </c>
      <c r="E22" s="204" t="s">
        <v>1805</v>
      </c>
      <c r="F22" s="205"/>
      <c r="G22" s="206" t="s">
        <v>1495</v>
      </c>
      <c r="H22" s="207" t="s">
        <v>479</v>
      </c>
      <c r="I22" s="207" t="str">
        <f t="shared" si="0"/>
        <v>082-MII-D_082-MII-D</v>
      </c>
    </row>
    <row r="23" spans="1:10" hidden="1">
      <c r="A23" s="202" t="s">
        <v>1406</v>
      </c>
      <c r="B23" s="202" t="str">
        <f t="shared" si="1"/>
        <v>083-MII-D</v>
      </c>
      <c r="C23" s="203" t="s">
        <v>537</v>
      </c>
      <c r="D23" s="352" t="s">
        <v>1661</v>
      </c>
      <c r="E23" s="204" t="s">
        <v>1805</v>
      </c>
      <c r="F23" s="205"/>
      <c r="G23" s="206" t="s">
        <v>1495</v>
      </c>
      <c r="H23" s="207" t="s">
        <v>479</v>
      </c>
      <c r="I23" s="207" t="str">
        <f t="shared" si="0"/>
        <v>083-MII-D_083-MII-D</v>
      </c>
    </row>
    <row r="24" spans="1:10" hidden="1">
      <c r="A24" s="202" t="s">
        <v>1407</v>
      </c>
      <c r="B24" s="202" t="str">
        <f t="shared" si="1"/>
        <v>061-OMII-D</v>
      </c>
      <c r="C24" s="203" t="s">
        <v>537</v>
      </c>
      <c r="D24" s="357" t="s">
        <v>2121</v>
      </c>
      <c r="E24" s="204" t="s">
        <v>1805</v>
      </c>
      <c r="F24" s="205"/>
      <c r="G24" s="206" t="s">
        <v>1495</v>
      </c>
      <c r="H24" s="207" t="s">
        <v>479</v>
      </c>
      <c r="I24" s="207" t="str">
        <f t="shared" si="0"/>
        <v>061-OMII-D_061-OMII-D</v>
      </c>
    </row>
    <row r="25" spans="1:10" hidden="1">
      <c r="A25" s="202" t="s">
        <v>1408</v>
      </c>
      <c r="B25" s="202" t="str">
        <f t="shared" si="1"/>
        <v>100-SPQP-D</v>
      </c>
      <c r="C25" s="203" t="s">
        <v>537</v>
      </c>
      <c r="D25" s="209" t="s">
        <v>1662</v>
      </c>
      <c r="E25" s="204" t="s">
        <v>1805</v>
      </c>
      <c r="F25" s="205"/>
      <c r="G25" s="206" t="s">
        <v>1495</v>
      </c>
      <c r="H25" s="207" t="s">
        <v>479</v>
      </c>
      <c r="I25" s="207" t="str">
        <f t="shared" si="0"/>
        <v>100-SPQP-D_100-SPQP-D</v>
      </c>
    </row>
    <row r="26" spans="1:10">
      <c r="A26" s="361" t="s">
        <v>1517</v>
      </c>
      <c r="B26" s="202" t="str">
        <f t="shared" si="1"/>
        <v>101-BOD-D</v>
      </c>
      <c r="C26" s="203" t="s">
        <v>537</v>
      </c>
      <c r="D26" s="209" t="s">
        <v>2119</v>
      </c>
      <c r="E26" s="204" t="s">
        <v>74</v>
      </c>
      <c r="F26" s="205"/>
      <c r="G26" s="206" t="s">
        <v>1495</v>
      </c>
      <c r="H26" s="207" t="s">
        <v>479</v>
      </c>
      <c r="I26" s="207" t="str">
        <f t="shared" si="0"/>
        <v>101-BOD-D_101-BOD-D</v>
      </c>
      <c r="J26" s="1">
        <v>1</v>
      </c>
    </row>
    <row r="27" spans="1:10" hidden="1">
      <c r="A27" s="202" t="s">
        <v>1518</v>
      </c>
      <c r="B27" s="202" t="str">
        <f t="shared" si="1"/>
        <v>102-BOD-D</v>
      </c>
      <c r="C27" s="203" t="s">
        <v>537</v>
      </c>
      <c r="D27" s="352" t="s">
        <v>1663</v>
      </c>
      <c r="E27" s="204" t="s">
        <v>1805</v>
      </c>
      <c r="F27" s="205"/>
      <c r="G27" s="206" t="s">
        <v>1495</v>
      </c>
      <c r="H27" s="207" t="s">
        <v>479</v>
      </c>
      <c r="I27" s="207" t="str">
        <f t="shared" si="0"/>
        <v>102-BOD-D_102-BOD-D</v>
      </c>
    </row>
    <row r="28" spans="1:10" hidden="1">
      <c r="A28" s="202" t="s">
        <v>1519</v>
      </c>
      <c r="B28" s="202" t="str">
        <f t="shared" si="1"/>
        <v>103-BOD-D</v>
      </c>
      <c r="C28" s="203" t="s">
        <v>537</v>
      </c>
      <c r="D28" s="352" t="s">
        <v>1664</v>
      </c>
      <c r="E28" s="204" t="s">
        <v>1805</v>
      </c>
      <c r="F28" s="205"/>
      <c r="G28" s="206" t="s">
        <v>1495</v>
      </c>
      <c r="H28" s="207" t="s">
        <v>479</v>
      </c>
      <c r="I28" s="207" t="str">
        <f t="shared" si="0"/>
        <v>103-BOD-D_103-BOD-D</v>
      </c>
    </row>
    <row r="29" spans="1:10" hidden="1">
      <c r="A29" s="202" t="s">
        <v>1520</v>
      </c>
      <c r="B29" s="202" t="str">
        <f t="shared" si="1"/>
        <v>104-BOD-D</v>
      </c>
      <c r="C29" s="203" t="s">
        <v>537</v>
      </c>
      <c r="D29" s="352" t="s">
        <v>1665</v>
      </c>
      <c r="E29" s="204" t="s">
        <v>1805</v>
      </c>
      <c r="F29" s="205"/>
      <c r="G29" s="206" t="s">
        <v>1495</v>
      </c>
      <c r="H29" s="207" t="s">
        <v>479</v>
      </c>
      <c r="I29" s="207" t="str">
        <f t="shared" si="0"/>
        <v>104-BOD-D_104-BOD-D</v>
      </c>
    </row>
    <row r="30" spans="1:10" hidden="1">
      <c r="A30" s="202" t="s">
        <v>1521</v>
      </c>
      <c r="B30" s="202" t="str">
        <f t="shared" si="1"/>
        <v>105-BOD-D</v>
      </c>
      <c r="C30" s="203" t="s">
        <v>537</v>
      </c>
      <c r="D30" s="352" t="s">
        <v>1666</v>
      </c>
      <c r="E30" s="204" t="s">
        <v>1805</v>
      </c>
      <c r="F30" s="205"/>
      <c r="G30" s="206" t="s">
        <v>1495</v>
      </c>
      <c r="H30" s="207" t="s">
        <v>479</v>
      </c>
      <c r="I30" s="207" t="str">
        <f t="shared" si="0"/>
        <v>105-BOD-D_105-BOD-D</v>
      </c>
    </row>
    <row r="31" spans="1:10">
      <c r="A31" s="361" t="s">
        <v>1522</v>
      </c>
      <c r="B31" s="202" t="str">
        <f t="shared" si="1"/>
        <v>110-MEL-D</v>
      </c>
      <c r="C31" s="203" t="s">
        <v>537</v>
      </c>
      <c r="D31" s="209" t="s">
        <v>1667</v>
      </c>
      <c r="E31" s="204" t="s">
        <v>74</v>
      </c>
      <c r="F31" s="205"/>
      <c r="G31" s="206" t="s">
        <v>1495</v>
      </c>
      <c r="H31" s="207" t="s">
        <v>479</v>
      </c>
      <c r="I31" s="207" t="str">
        <f t="shared" si="0"/>
        <v>110-MEL-D_110-MEL-D</v>
      </c>
      <c r="J31" s="1">
        <v>1</v>
      </c>
    </row>
    <row r="32" spans="1:10">
      <c r="A32" s="361" t="s">
        <v>1523</v>
      </c>
      <c r="B32" s="202" t="str">
        <f t="shared" si="1"/>
        <v>120-LAY-D</v>
      </c>
      <c r="C32" s="203" t="s">
        <v>537</v>
      </c>
      <c r="D32" s="209" t="s">
        <v>2120</v>
      </c>
      <c r="E32" s="204" t="s">
        <v>74</v>
      </c>
      <c r="F32" s="205"/>
      <c r="G32" s="206" t="s">
        <v>1495</v>
      </c>
      <c r="H32" s="207" t="s">
        <v>479</v>
      </c>
      <c r="I32" s="207" t="str">
        <f t="shared" si="0"/>
        <v>120-LAY-D_120-LAY-D</v>
      </c>
      <c r="J32" s="1">
        <v>1</v>
      </c>
    </row>
    <row r="33" spans="1:10" hidden="1">
      <c r="A33" s="188" t="s">
        <v>1524</v>
      </c>
      <c r="B33" s="202" t="str">
        <f t="shared" si="1"/>
        <v>125-LAY-D</v>
      </c>
      <c r="C33" s="203" t="s">
        <v>537</v>
      </c>
      <c r="D33" s="353" t="s">
        <v>1668</v>
      </c>
      <c r="E33" s="204" t="s">
        <v>1805</v>
      </c>
      <c r="F33" s="208"/>
      <c r="G33" s="206" t="s">
        <v>1495</v>
      </c>
      <c r="H33" s="207" t="s">
        <v>479</v>
      </c>
      <c r="I33" s="207" t="str">
        <f t="shared" si="0"/>
        <v>125-LAY-D_125-LAY-D</v>
      </c>
    </row>
    <row r="34" spans="1:10" hidden="1">
      <c r="A34" s="188" t="s">
        <v>1525</v>
      </c>
      <c r="B34" s="202" t="str">
        <f t="shared" si="1"/>
        <v>128-LAY-D</v>
      </c>
      <c r="C34" s="203" t="s">
        <v>537</v>
      </c>
      <c r="D34" s="353" t="s">
        <v>1669</v>
      </c>
      <c r="E34" s="204" t="s">
        <v>1805</v>
      </c>
      <c r="F34" s="208"/>
      <c r="G34" s="206" t="s">
        <v>1495</v>
      </c>
      <c r="H34" s="207" t="s">
        <v>479</v>
      </c>
      <c r="I34" s="207" t="str">
        <f t="shared" ref="I34:I65" si="6">B34 &amp; "_" &amp; A34</f>
        <v>128-LAY-D_128-LAY-D</v>
      </c>
    </row>
    <row r="35" spans="1:10" hidden="1">
      <c r="A35" s="188" t="s">
        <v>1526</v>
      </c>
      <c r="B35" s="202" t="str">
        <f t="shared" si="1"/>
        <v>129-LAY-D</v>
      </c>
      <c r="C35" s="203" t="s">
        <v>537</v>
      </c>
      <c r="D35" s="353" t="s">
        <v>1670</v>
      </c>
      <c r="E35" s="204" t="s">
        <v>1805</v>
      </c>
      <c r="F35" s="208"/>
      <c r="G35" s="206" t="s">
        <v>1495</v>
      </c>
      <c r="H35" s="207" t="s">
        <v>479</v>
      </c>
      <c r="I35" s="207" t="str">
        <f t="shared" si="6"/>
        <v>129-LAY-D_129-LAY-D</v>
      </c>
    </row>
    <row r="36" spans="1:10" hidden="1">
      <c r="A36" s="188" t="s">
        <v>1527</v>
      </c>
      <c r="B36" s="202" t="str">
        <f t="shared" si="1"/>
        <v>152-LAY-D</v>
      </c>
      <c r="C36" s="203" t="s">
        <v>537</v>
      </c>
      <c r="D36" s="353" t="s">
        <v>1671</v>
      </c>
      <c r="E36" s="204" t="s">
        <v>1805</v>
      </c>
      <c r="F36" s="208"/>
      <c r="G36" s="206" t="s">
        <v>1495</v>
      </c>
      <c r="H36" s="207" t="s">
        <v>479</v>
      </c>
      <c r="I36" s="207" t="str">
        <f t="shared" si="6"/>
        <v>152-LAY-D_152-LAY-D</v>
      </c>
    </row>
    <row r="37" spans="1:10">
      <c r="A37" s="188" t="s">
        <v>1528</v>
      </c>
      <c r="B37" s="202" t="str">
        <f t="shared" si="1"/>
        <v>121-LAY-D</v>
      </c>
      <c r="C37" s="203" t="s">
        <v>537</v>
      </c>
      <c r="D37" s="293" t="s">
        <v>2122</v>
      </c>
      <c r="E37" s="204" t="s">
        <v>74</v>
      </c>
      <c r="F37" s="208"/>
      <c r="G37" s="206" t="s">
        <v>1495</v>
      </c>
      <c r="H37" s="207" t="s">
        <v>479</v>
      </c>
      <c r="I37" s="207" t="str">
        <f t="shared" si="6"/>
        <v>121-LAY-D_121-LAY-D</v>
      </c>
    </row>
    <row r="38" spans="1:10">
      <c r="A38" s="188" t="s">
        <v>1529</v>
      </c>
      <c r="B38" s="202" t="str">
        <f t="shared" si="1"/>
        <v>131-LU-D</v>
      </c>
      <c r="C38" s="203" t="s">
        <v>537</v>
      </c>
      <c r="D38" s="210" t="s">
        <v>1672</v>
      </c>
      <c r="E38" s="204" t="s">
        <v>74</v>
      </c>
      <c r="F38" s="208"/>
      <c r="G38" s="206" t="s">
        <v>1495</v>
      </c>
      <c r="H38" s="207" t="s">
        <v>479</v>
      </c>
      <c r="I38" s="207" t="str">
        <f t="shared" si="6"/>
        <v>131-LU-D_131-LU-D</v>
      </c>
    </row>
    <row r="39" spans="1:10">
      <c r="A39" s="362" t="s">
        <v>1804</v>
      </c>
      <c r="B39" s="202" t="str">
        <f t="shared" si="1"/>
        <v>130-XRA-D</v>
      </c>
      <c r="C39" s="203" t="s">
        <v>537</v>
      </c>
      <c r="D39" s="293" t="s">
        <v>2123</v>
      </c>
      <c r="E39" s="204" t="s">
        <v>74</v>
      </c>
      <c r="F39" s="208"/>
      <c r="G39" s="206" t="s">
        <v>1495</v>
      </c>
      <c r="H39" s="207" t="s">
        <v>479</v>
      </c>
      <c r="I39" s="207" t="str">
        <f t="shared" si="6"/>
        <v>130-XRA-D_130-XRA-D</v>
      </c>
      <c r="J39" s="1">
        <v>1</v>
      </c>
    </row>
    <row r="40" spans="1:10" hidden="1">
      <c r="A40" s="188" t="s">
        <v>1530</v>
      </c>
      <c r="B40" s="202" t="str">
        <f t="shared" si="1"/>
        <v>140-XRA-D</v>
      </c>
      <c r="C40" s="203" t="s">
        <v>537</v>
      </c>
      <c r="D40" s="353" t="s">
        <v>1673</v>
      </c>
      <c r="E40" s="204" t="s">
        <v>1805</v>
      </c>
      <c r="F40" s="208"/>
      <c r="G40" s="206" t="s">
        <v>1495</v>
      </c>
      <c r="H40" s="207" t="s">
        <v>479</v>
      </c>
      <c r="I40" s="207" t="str">
        <f t="shared" si="6"/>
        <v>140-XRA-D_140-XRA-D</v>
      </c>
    </row>
    <row r="41" spans="1:10" hidden="1">
      <c r="A41" s="188" t="s">
        <v>1531</v>
      </c>
      <c r="B41" s="202" t="str">
        <f t="shared" si="1"/>
        <v>150-XRA-D</v>
      </c>
      <c r="C41" s="203" t="s">
        <v>537</v>
      </c>
      <c r="D41" s="353" t="s">
        <v>1674</v>
      </c>
      <c r="E41" s="204" t="s">
        <v>1805</v>
      </c>
      <c r="F41" s="208"/>
      <c r="G41" s="206" t="s">
        <v>1495</v>
      </c>
      <c r="H41" s="207" t="s">
        <v>479</v>
      </c>
      <c r="I41" s="207" t="str">
        <f t="shared" si="6"/>
        <v>150-XRA-D_150-XRA-D</v>
      </c>
    </row>
    <row r="42" spans="1:10" hidden="1">
      <c r="A42" s="188" t="s">
        <v>1532</v>
      </c>
      <c r="B42" s="202" t="str">
        <f t="shared" si="1"/>
        <v>151-XRA-D</v>
      </c>
      <c r="C42" s="203" t="s">
        <v>537</v>
      </c>
      <c r="D42" s="353" t="s">
        <v>1675</v>
      </c>
      <c r="E42" s="204" t="s">
        <v>1805</v>
      </c>
      <c r="F42" s="208"/>
      <c r="G42" s="206" t="s">
        <v>1495</v>
      </c>
      <c r="H42" s="207" t="s">
        <v>479</v>
      </c>
      <c r="I42" s="207" t="str">
        <f t="shared" si="6"/>
        <v>151-XRA-D_151-XRA-D</v>
      </c>
    </row>
    <row r="43" spans="1:10" hidden="1">
      <c r="A43" s="188" t="s">
        <v>1533</v>
      </c>
      <c r="B43" s="202" t="str">
        <f t="shared" si="1"/>
        <v>153-XRA-D</v>
      </c>
      <c r="C43" s="203" t="s">
        <v>537</v>
      </c>
      <c r="D43" s="353" t="s">
        <v>1676</v>
      </c>
      <c r="E43" s="204" t="s">
        <v>1805</v>
      </c>
      <c r="F43" s="208"/>
      <c r="G43" s="206" t="s">
        <v>1495</v>
      </c>
      <c r="H43" s="207" t="s">
        <v>479</v>
      </c>
      <c r="I43" s="207" t="str">
        <f t="shared" si="6"/>
        <v>153-XRA-D_153-XRA-D</v>
      </c>
    </row>
    <row r="44" spans="1:10">
      <c r="A44" s="362" t="s">
        <v>1534</v>
      </c>
      <c r="B44" s="202" t="str">
        <f t="shared" si="1"/>
        <v>160-ILR-D</v>
      </c>
      <c r="C44" s="203" t="s">
        <v>537</v>
      </c>
      <c r="D44" s="293" t="s">
        <v>2124</v>
      </c>
      <c r="E44" s="204" t="s">
        <v>74</v>
      </c>
      <c r="F44" s="208"/>
      <c r="G44" s="206" t="s">
        <v>1495</v>
      </c>
      <c r="H44" s="207" t="s">
        <v>479</v>
      </c>
      <c r="I44" s="207" t="str">
        <f t="shared" si="6"/>
        <v>160-ILR-D_160-ILR-D</v>
      </c>
      <c r="J44" s="1">
        <v>1</v>
      </c>
    </row>
    <row r="45" spans="1:10" hidden="1">
      <c r="A45" s="188" t="s">
        <v>1535</v>
      </c>
      <c r="B45" s="202" t="str">
        <f t="shared" si="1"/>
        <v>170-ILR-D</v>
      </c>
      <c r="C45" s="203" t="s">
        <v>537</v>
      </c>
      <c r="D45" s="353" t="s">
        <v>1677</v>
      </c>
      <c r="E45" s="204" t="s">
        <v>1805</v>
      </c>
      <c r="F45" s="208"/>
      <c r="G45" s="206" t="s">
        <v>1495</v>
      </c>
      <c r="H45" s="207" t="s">
        <v>479</v>
      </c>
      <c r="I45" s="207" t="str">
        <f t="shared" si="6"/>
        <v>170-ILR-D_170-ILR-D</v>
      </c>
    </row>
    <row r="46" spans="1:10" hidden="1">
      <c r="A46" s="188" t="s">
        <v>1536</v>
      </c>
      <c r="B46" s="202" t="str">
        <f t="shared" si="1"/>
        <v>175-ILR-D</v>
      </c>
      <c r="C46" s="203" t="s">
        <v>537</v>
      </c>
      <c r="D46" s="353" t="s">
        <v>1678</v>
      </c>
      <c r="E46" s="204" t="s">
        <v>1805</v>
      </c>
      <c r="F46" s="208"/>
      <c r="G46" s="206" t="s">
        <v>1495</v>
      </c>
      <c r="H46" s="207" t="s">
        <v>479</v>
      </c>
      <c r="I46" s="207" t="str">
        <f t="shared" si="6"/>
        <v>175-ILR-D_175-ILR-D</v>
      </c>
    </row>
    <row r="47" spans="1:10" hidden="1">
      <c r="A47" s="188" t="s">
        <v>1537</v>
      </c>
      <c r="B47" s="202" t="str">
        <f t="shared" si="1"/>
        <v>176-ILR-D</v>
      </c>
      <c r="C47" s="203" t="s">
        <v>537</v>
      </c>
      <c r="D47" s="353" t="s">
        <v>1679</v>
      </c>
      <c r="E47" s="204" t="s">
        <v>1805</v>
      </c>
      <c r="F47" s="208"/>
      <c r="G47" s="206" t="s">
        <v>1495</v>
      </c>
      <c r="H47" s="207" t="s">
        <v>479</v>
      </c>
      <c r="I47" s="207" t="str">
        <f t="shared" si="6"/>
        <v>176-ILR-D_176-ILR-D</v>
      </c>
    </row>
    <row r="48" spans="1:10" hidden="1">
      <c r="A48" s="188" t="s">
        <v>1538</v>
      </c>
      <c r="B48" s="202" t="str">
        <f t="shared" si="1"/>
        <v>177-ILR-D</v>
      </c>
      <c r="C48" s="203" t="s">
        <v>537</v>
      </c>
      <c r="D48" s="353" t="s">
        <v>1680</v>
      </c>
      <c r="E48" s="204" t="s">
        <v>1805</v>
      </c>
      <c r="F48" s="208"/>
      <c r="G48" s="206" t="s">
        <v>1495</v>
      </c>
      <c r="H48" s="207" t="s">
        <v>479</v>
      </c>
      <c r="I48" s="207" t="str">
        <f t="shared" si="6"/>
        <v>177-ILR-D_177-ILR-D</v>
      </c>
    </row>
    <row r="49" spans="1:10">
      <c r="A49" s="188" t="s">
        <v>1539</v>
      </c>
      <c r="B49" s="202" t="str">
        <f t="shared" si="1"/>
        <v>180-ILI-D</v>
      </c>
      <c r="C49" s="203" t="s">
        <v>537</v>
      </c>
      <c r="D49" s="293" t="s">
        <v>2125</v>
      </c>
      <c r="E49" s="204" t="s">
        <v>74</v>
      </c>
      <c r="F49" s="208"/>
      <c r="G49" s="206" t="s">
        <v>1495</v>
      </c>
      <c r="H49" s="207" t="s">
        <v>479</v>
      </c>
      <c r="I49" s="207" t="str">
        <f t="shared" si="6"/>
        <v>180-ILI-D_180-ILI-D</v>
      </c>
    </row>
    <row r="50" spans="1:10" hidden="1">
      <c r="A50" s="188" t="s">
        <v>1540</v>
      </c>
      <c r="B50" s="202" t="str">
        <f t="shared" si="1"/>
        <v>183-ILI-D</v>
      </c>
      <c r="C50" s="203" t="s">
        <v>537</v>
      </c>
      <c r="D50" s="353" t="s">
        <v>1681</v>
      </c>
      <c r="E50" s="204" t="s">
        <v>1805</v>
      </c>
      <c r="F50" s="208"/>
      <c r="G50" s="206" t="s">
        <v>1495</v>
      </c>
      <c r="H50" s="207" t="s">
        <v>479</v>
      </c>
      <c r="I50" s="207" t="str">
        <f t="shared" si="6"/>
        <v>183-ILI-D_183-ILI-D</v>
      </c>
    </row>
    <row r="51" spans="1:10" hidden="1">
      <c r="A51" s="188" t="s">
        <v>1541</v>
      </c>
      <c r="B51" s="202" t="str">
        <f t="shared" si="1"/>
        <v>184-ILI-D</v>
      </c>
      <c r="C51" s="203" t="s">
        <v>537</v>
      </c>
      <c r="D51" s="353" t="s">
        <v>1682</v>
      </c>
      <c r="E51" s="204" t="s">
        <v>1805</v>
      </c>
      <c r="F51" s="208"/>
      <c r="G51" s="206" t="s">
        <v>1495</v>
      </c>
      <c r="H51" s="207" t="s">
        <v>479</v>
      </c>
      <c r="I51" s="207" t="str">
        <f t="shared" si="6"/>
        <v>184-ILI-D_184-ILI-D</v>
      </c>
    </row>
    <row r="52" spans="1:10">
      <c r="A52" s="362" t="s">
        <v>1542</v>
      </c>
      <c r="B52" s="202" t="str">
        <f t="shared" si="1"/>
        <v>210-G/H-D</v>
      </c>
      <c r="C52" s="203" t="s">
        <v>537</v>
      </c>
      <c r="D52" s="210" t="s">
        <v>1683</v>
      </c>
      <c r="E52" s="204" t="s">
        <v>74</v>
      </c>
      <c r="F52" s="208"/>
      <c r="G52" s="206" t="s">
        <v>1495</v>
      </c>
      <c r="H52" s="207" t="s">
        <v>479</v>
      </c>
      <c r="I52" s="207" t="str">
        <f t="shared" si="6"/>
        <v>210-G/H-D_210-G/H-D</v>
      </c>
      <c r="J52" s="1">
        <v>1</v>
      </c>
    </row>
    <row r="53" spans="1:10" hidden="1">
      <c r="A53" s="188" t="s">
        <v>1543</v>
      </c>
      <c r="B53" s="202" t="str">
        <f t="shared" si="1"/>
        <v>221-DRL-D</v>
      </c>
      <c r="C53" s="203" t="s">
        <v>537</v>
      </c>
      <c r="D53" s="354" t="s">
        <v>1807</v>
      </c>
      <c r="E53" s="204" t="s">
        <v>1805</v>
      </c>
      <c r="F53" s="208"/>
      <c r="G53" s="206" t="s">
        <v>1495</v>
      </c>
      <c r="H53" s="207" t="s">
        <v>479</v>
      </c>
      <c r="I53" s="207" t="str">
        <f t="shared" si="6"/>
        <v>221-DRL-D_221-DRL-D</v>
      </c>
    </row>
    <row r="54" spans="1:10">
      <c r="A54" s="362" t="s">
        <v>1544</v>
      </c>
      <c r="B54" s="202" t="str">
        <f t="shared" si="1"/>
        <v>190-DRL-D</v>
      </c>
      <c r="C54" s="203" t="s">
        <v>537</v>
      </c>
      <c r="D54" s="210" t="s">
        <v>1684</v>
      </c>
      <c r="E54" s="204" t="s">
        <v>74</v>
      </c>
      <c r="F54" s="208"/>
      <c r="G54" s="206" t="s">
        <v>1495</v>
      </c>
      <c r="H54" s="207" t="s">
        <v>479</v>
      </c>
      <c r="I54" s="207" t="str">
        <f t="shared" si="6"/>
        <v>190-DRL-D_190-DRL-D</v>
      </c>
      <c r="J54" s="1">
        <v>1</v>
      </c>
    </row>
    <row r="55" spans="1:10">
      <c r="A55" s="362" t="s">
        <v>1545</v>
      </c>
      <c r="B55" s="202" t="str">
        <f t="shared" si="1"/>
        <v>200-DRL-D</v>
      </c>
      <c r="C55" s="203" t="s">
        <v>537</v>
      </c>
      <c r="D55" s="293" t="s">
        <v>2126</v>
      </c>
      <c r="E55" s="204" t="s">
        <v>74</v>
      </c>
      <c r="F55" s="208"/>
      <c r="G55" s="206" t="s">
        <v>1495</v>
      </c>
      <c r="H55" s="207" t="s">
        <v>479</v>
      </c>
      <c r="I55" s="207" t="str">
        <f t="shared" si="6"/>
        <v>200-DRL-D_200-DRL-D</v>
      </c>
      <c r="J55" s="1">
        <v>1</v>
      </c>
    </row>
    <row r="56" spans="1:10" hidden="1">
      <c r="A56" s="188" t="s">
        <v>1546</v>
      </c>
      <c r="B56" s="202" t="str">
        <f t="shared" si="1"/>
        <v>220-DRL-D</v>
      </c>
      <c r="C56" s="203" t="s">
        <v>537</v>
      </c>
      <c r="D56" s="353" t="s">
        <v>1685</v>
      </c>
      <c r="E56" s="204" t="s">
        <v>1805</v>
      </c>
      <c r="F56" s="208"/>
      <c r="G56" s="206" t="s">
        <v>1495</v>
      </c>
      <c r="H56" s="207" t="s">
        <v>479</v>
      </c>
      <c r="I56" s="207" t="str">
        <f t="shared" si="6"/>
        <v>220-DRL-D_220-DRL-D</v>
      </c>
    </row>
    <row r="57" spans="1:10" hidden="1">
      <c r="A57" s="188" t="s">
        <v>1547</v>
      </c>
      <c r="B57" s="202" t="str">
        <f t="shared" si="1"/>
        <v>225-DRL-D</v>
      </c>
      <c r="C57" s="203" t="s">
        <v>537</v>
      </c>
      <c r="D57" s="353" t="s">
        <v>1686</v>
      </c>
      <c r="E57" s="204" t="s">
        <v>1805</v>
      </c>
      <c r="F57" s="208"/>
      <c r="G57" s="206" t="s">
        <v>1495</v>
      </c>
      <c r="H57" s="207" t="s">
        <v>479</v>
      </c>
      <c r="I57" s="207" t="str">
        <f t="shared" si="6"/>
        <v>225-DRL-D_225-DRL-D</v>
      </c>
    </row>
    <row r="58" spans="1:10">
      <c r="A58" s="188" t="s">
        <v>1548</v>
      </c>
      <c r="B58" s="202" t="str">
        <f t="shared" si="1"/>
        <v>205-BAK-D</v>
      </c>
      <c r="C58" s="203" t="s">
        <v>537</v>
      </c>
      <c r="D58" s="302" t="s">
        <v>1808</v>
      </c>
      <c r="E58" s="204" t="s">
        <v>74</v>
      </c>
      <c r="F58" s="208"/>
      <c r="G58" s="206" t="s">
        <v>1495</v>
      </c>
      <c r="H58" s="207" t="s">
        <v>479</v>
      </c>
      <c r="I58" s="207" t="str">
        <f t="shared" si="6"/>
        <v>205-BAK-D_205-BAK-D</v>
      </c>
    </row>
    <row r="59" spans="1:10">
      <c r="A59" s="362" t="s">
        <v>1549</v>
      </c>
      <c r="B59" s="202" t="str">
        <f t="shared" si="1"/>
        <v>230-DES-D</v>
      </c>
      <c r="C59" s="203" t="s">
        <v>537</v>
      </c>
      <c r="D59" s="293" t="s">
        <v>2127</v>
      </c>
      <c r="E59" s="204" t="s">
        <v>74</v>
      </c>
      <c r="F59" s="208"/>
      <c r="G59" s="206" t="s">
        <v>1495</v>
      </c>
      <c r="H59" s="207" t="s">
        <v>479</v>
      </c>
      <c r="I59" s="207" t="str">
        <f t="shared" si="6"/>
        <v>230-DES-D_230-DES-D</v>
      </c>
      <c r="J59" s="1">
        <v>1</v>
      </c>
    </row>
    <row r="60" spans="1:10" hidden="1">
      <c r="A60" s="188" t="s">
        <v>1550</v>
      </c>
      <c r="B60" s="202" t="str">
        <f t="shared" si="1"/>
        <v>235-DES-D</v>
      </c>
      <c r="C60" s="203" t="s">
        <v>537</v>
      </c>
      <c r="D60" s="353" t="s">
        <v>1687</v>
      </c>
      <c r="E60" s="204" t="s">
        <v>1805</v>
      </c>
      <c r="F60" s="208"/>
      <c r="G60" s="206" t="s">
        <v>1495</v>
      </c>
      <c r="H60" s="207" t="s">
        <v>479</v>
      </c>
      <c r="I60" s="207" t="str">
        <f t="shared" si="6"/>
        <v>235-DES-D_235-DES-D</v>
      </c>
    </row>
    <row r="61" spans="1:10" hidden="1">
      <c r="A61" s="188" t="s">
        <v>1551</v>
      </c>
      <c r="B61" s="202" t="str">
        <f t="shared" si="1"/>
        <v>240-DES-D</v>
      </c>
      <c r="C61" s="203" t="s">
        <v>537</v>
      </c>
      <c r="D61" s="353" t="s">
        <v>1688</v>
      </c>
      <c r="E61" s="204" t="s">
        <v>1805</v>
      </c>
      <c r="F61" s="208"/>
      <c r="G61" s="206" t="s">
        <v>1495</v>
      </c>
      <c r="H61" s="207" t="s">
        <v>479</v>
      </c>
      <c r="I61" s="207" t="str">
        <f t="shared" si="6"/>
        <v>240-DES-D_240-DES-D</v>
      </c>
    </row>
    <row r="62" spans="1:10" hidden="1">
      <c r="A62" s="188" t="s">
        <v>1552</v>
      </c>
      <c r="B62" s="202" t="str">
        <f t="shared" si="1"/>
        <v>241-DES-D</v>
      </c>
      <c r="C62" s="203" t="s">
        <v>537</v>
      </c>
      <c r="D62" s="353" t="s">
        <v>1689</v>
      </c>
      <c r="E62" s="204" t="s">
        <v>1805</v>
      </c>
      <c r="F62" s="208"/>
      <c r="G62" s="206" t="s">
        <v>1495</v>
      </c>
      <c r="H62" s="207" t="s">
        <v>479</v>
      </c>
      <c r="I62" s="207" t="str">
        <f t="shared" si="6"/>
        <v>241-DES-D_241-DES-D</v>
      </c>
    </row>
    <row r="63" spans="1:10" hidden="1">
      <c r="A63" s="188" t="s">
        <v>1553</v>
      </c>
      <c r="B63" s="202" t="str">
        <f t="shared" si="1"/>
        <v>242-DES-D</v>
      </c>
      <c r="C63" s="203" t="s">
        <v>537</v>
      </c>
      <c r="D63" s="353" t="s">
        <v>1690</v>
      </c>
      <c r="E63" s="204" t="s">
        <v>1805</v>
      </c>
      <c r="F63" s="208"/>
      <c r="G63" s="206" t="s">
        <v>1495</v>
      </c>
      <c r="H63" s="207" t="s">
        <v>479</v>
      </c>
      <c r="I63" s="207" t="str">
        <f t="shared" si="6"/>
        <v>242-DES-D_242-DES-D</v>
      </c>
    </row>
    <row r="64" spans="1:10" hidden="1">
      <c r="A64" s="188" t="s">
        <v>1554</v>
      </c>
      <c r="B64" s="202" t="str">
        <f t="shared" si="1"/>
        <v>243-DES-D</v>
      </c>
      <c r="C64" s="203" t="s">
        <v>537</v>
      </c>
      <c r="D64" s="353" t="s">
        <v>1691</v>
      </c>
      <c r="E64" s="204" t="s">
        <v>1805</v>
      </c>
      <c r="F64" s="208"/>
      <c r="G64" s="206" t="s">
        <v>1495</v>
      </c>
      <c r="H64" s="207" t="s">
        <v>479</v>
      </c>
      <c r="I64" s="207" t="str">
        <f t="shared" si="6"/>
        <v>243-DES-D_243-DES-D</v>
      </c>
    </row>
    <row r="65" spans="1:10" hidden="1">
      <c r="A65" s="188" t="s">
        <v>1555</v>
      </c>
      <c r="B65" s="202" t="str">
        <f t="shared" si="1"/>
        <v>244-DES-D</v>
      </c>
      <c r="C65" s="203" t="s">
        <v>537</v>
      </c>
      <c r="D65" s="353" t="s">
        <v>1692</v>
      </c>
      <c r="E65" s="204" t="s">
        <v>1805</v>
      </c>
      <c r="F65" s="208"/>
      <c r="G65" s="206" t="s">
        <v>1495</v>
      </c>
      <c r="H65" s="207" t="s">
        <v>479</v>
      </c>
      <c r="I65" s="207" t="str">
        <f t="shared" si="6"/>
        <v>244-DES-D_244-DES-D</v>
      </c>
    </row>
    <row r="66" spans="1:10">
      <c r="A66" s="362" t="s">
        <v>1556</v>
      </c>
      <c r="B66" s="202" t="str">
        <f t="shared" si="1"/>
        <v>245-RIN-D</v>
      </c>
      <c r="C66" s="203" t="s">
        <v>537</v>
      </c>
      <c r="D66" s="293" t="s">
        <v>2128</v>
      </c>
      <c r="E66" s="204" t="s">
        <v>74</v>
      </c>
      <c r="F66" s="208"/>
      <c r="G66" s="206" t="s">
        <v>1495</v>
      </c>
      <c r="H66" s="207" t="s">
        <v>479</v>
      </c>
      <c r="I66" s="207" t="str">
        <f t="shared" ref="I66:I97" si="7">B66 &amp; "_" &amp; A66</f>
        <v>245-RIN-D_245-RIN-D</v>
      </c>
      <c r="J66" s="1">
        <v>1</v>
      </c>
    </row>
    <row r="67" spans="1:10" hidden="1">
      <c r="A67" s="188" t="s">
        <v>1557</v>
      </c>
      <c r="B67" s="202" t="str">
        <f t="shared" ref="B67:B131" si="8">A67</f>
        <v>257-RIN-D</v>
      </c>
      <c r="C67" s="203" t="s">
        <v>537</v>
      </c>
      <c r="D67" s="353" t="s">
        <v>1693</v>
      </c>
      <c r="E67" s="204" t="s">
        <v>1805</v>
      </c>
      <c r="F67" s="208"/>
      <c r="G67" s="206" t="s">
        <v>1495</v>
      </c>
      <c r="H67" s="207" t="s">
        <v>479</v>
      </c>
      <c r="I67" s="207" t="str">
        <f t="shared" si="7"/>
        <v>257-RIN-D_257-RIN-D</v>
      </c>
    </row>
    <row r="68" spans="1:10" hidden="1">
      <c r="A68" s="188" t="s">
        <v>1558</v>
      </c>
      <c r="B68" s="202" t="str">
        <f t="shared" si="8"/>
        <v>265-RIN-D</v>
      </c>
      <c r="C68" s="203" t="s">
        <v>537</v>
      </c>
      <c r="D68" s="353" t="s">
        <v>1694</v>
      </c>
      <c r="E68" s="204" t="s">
        <v>1805</v>
      </c>
      <c r="F68" s="208"/>
      <c r="G68" s="206" t="s">
        <v>1495</v>
      </c>
      <c r="H68" s="207" t="s">
        <v>479</v>
      </c>
      <c r="I68" s="207" t="str">
        <f t="shared" si="7"/>
        <v>265-RIN-D_265-RIN-D</v>
      </c>
    </row>
    <row r="69" spans="1:10" hidden="1">
      <c r="A69" s="188" t="s">
        <v>1559</v>
      </c>
      <c r="B69" s="202" t="str">
        <f t="shared" si="8"/>
        <v>275-RIN-D</v>
      </c>
      <c r="C69" s="203" t="s">
        <v>537</v>
      </c>
      <c r="D69" s="353" t="s">
        <v>1695</v>
      </c>
      <c r="E69" s="204" t="s">
        <v>1805</v>
      </c>
      <c r="F69" s="208"/>
      <c r="G69" s="206" t="s">
        <v>1495</v>
      </c>
      <c r="H69" s="207" t="s">
        <v>479</v>
      </c>
      <c r="I69" s="207" t="str">
        <f t="shared" si="7"/>
        <v>275-RIN-D_275-RIN-D</v>
      </c>
    </row>
    <row r="70" spans="1:10">
      <c r="A70" s="362" t="s">
        <v>1560</v>
      </c>
      <c r="B70" s="202" t="str">
        <f t="shared" si="8"/>
        <v>250-DES-D</v>
      </c>
      <c r="C70" s="203" t="s">
        <v>537</v>
      </c>
      <c r="D70" s="293" t="s">
        <v>2129</v>
      </c>
      <c r="E70" s="204" t="s">
        <v>74</v>
      </c>
      <c r="F70" s="208"/>
      <c r="G70" s="206" t="s">
        <v>1495</v>
      </c>
      <c r="H70" s="207" t="s">
        <v>479</v>
      </c>
      <c r="I70" s="207" t="str">
        <f t="shared" si="7"/>
        <v>250-DES-D_250-DES-D</v>
      </c>
      <c r="J70" s="1">
        <v>2</v>
      </c>
    </row>
    <row r="71" spans="1:10" hidden="1">
      <c r="A71" s="188" t="s">
        <v>1561</v>
      </c>
      <c r="B71" s="202" t="str">
        <f t="shared" si="8"/>
        <v>260-DES-D</v>
      </c>
      <c r="C71" s="203" t="s">
        <v>537</v>
      </c>
      <c r="D71" s="353" t="s">
        <v>1696</v>
      </c>
      <c r="E71" s="204" t="s">
        <v>1805</v>
      </c>
      <c r="F71" s="208"/>
      <c r="G71" s="206" t="s">
        <v>1495</v>
      </c>
      <c r="H71" s="207" t="s">
        <v>479</v>
      </c>
      <c r="I71" s="207" t="str">
        <f t="shared" si="7"/>
        <v>260-DES-D_260-DES-D</v>
      </c>
    </row>
    <row r="72" spans="1:10" hidden="1">
      <c r="A72" s="188" t="s">
        <v>1562</v>
      </c>
      <c r="B72" s="202" t="str">
        <f t="shared" si="8"/>
        <v>270-DES-D</v>
      </c>
      <c r="C72" s="203" t="s">
        <v>537</v>
      </c>
      <c r="D72" s="353" t="s">
        <v>1697</v>
      </c>
      <c r="E72" s="204" t="s">
        <v>1805</v>
      </c>
      <c r="F72" s="208"/>
      <c r="G72" s="206" t="s">
        <v>1495</v>
      </c>
      <c r="H72" s="207" t="s">
        <v>479</v>
      </c>
      <c r="I72" s="207" t="str">
        <f t="shared" si="7"/>
        <v>270-DES-D_270-DES-D</v>
      </c>
    </row>
    <row r="73" spans="1:10" hidden="1">
      <c r="A73" s="188" t="s">
        <v>1563</v>
      </c>
      <c r="B73" s="202" t="str">
        <f t="shared" si="8"/>
        <v>280-DES-D</v>
      </c>
      <c r="C73" s="203" t="s">
        <v>537</v>
      </c>
      <c r="D73" s="354" t="s">
        <v>1819</v>
      </c>
      <c r="E73" s="204" t="s">
        <v>1805</v>
      </c>
      <c r="F73" s="208"/>
      <c r="G73" s="206" t="s">
        <v>1495</v>
      </c>
      <c r="H73" s="207" t="s">
        <v>479</v>
      </c>
      <c r="I73" s="207" t="str">
        <f t="shared" si="7"/>
        <v>280-DES-D_280-DES-D</v>
      </c>
    </row>
    <row r="74" spans="1:10">
      <c r="A74" s="362" t="s">
        <v>1564</v>
      </c>
      <c r="B74" s="202" t="str">
        <f t="shared" si="8"/>
        <v>301-M/E-D</v>
      </c>
      <c r="C74" s="203" t="s">
        <v>537</v>
      </c>
      <c r="D74" s="293" t="s">
        <v>2130</v>
      </c>
      <c r="E74" s="204" t="s">
        <v>74</v>
      </c>
      <c r="F74" s="208"/>
      <c r="G74" s="206" t="s">
        <v>1495</v>
      </c>
      <c r="H74" s="207" t="s">
        <v>479</v>
      </c>
      <c r="I74" s="207" t="str">
        <f t="shared" si="7"/>
        <v>301-M/E-D_301-M/E-D</v>
      </c>
      <c r="J74" s="1">
        <v>1</v>
      </c>
    </row>
    <row r="75" spans="1:10" hidden="1">
      <c r="A75" s="188" t="s">
        <v>1565</v>
      </c>
      <c r="B75" s="202" t="str">
        <f t="shared" si="8"/>
        <v>302-M/E-D</v>
      </c>
      <c r="C75" s="203" t="s">
        <v>537</v>
      </c>
      <c r="D75" s="353" t="s">
        <v>1698</v>
      </c>
      <c r="E75" s="204" t="s">
        <v>1805</v>
      </c>
      <c r="F75" s="208"/>
      <c r="G75" s="206" t="s">
        <v>1495</v>
      </c>
      <c r="H75" s="207" t="s">
        <v>479</v>
      </c>
      <c r="I75" s="207" t="str">
        <f t="shared" si="7"/>
        <v>302-M/E-D_302-M/E-D</v>
      </c>
    </row>
    <row r="76" spans="1:10" hidden="1">
      <c r="A76" s="188" t="s">
        <v>1566</v>
      </c>
      <c r="B76" s="202" t="str">
        <f t="shared" si="8"/>
        <v>303-M/E-D</v>
      </c>
      <c r="C76" s="203" t="s">
        <v>537</v>
      </c>
      <c r="D76" s="354" t="s">
        <v>1809</v>
      </c>
      <c r="E76" s="204" t="s">
        <v>1805</v>
      </c>
      <c r="F76" s="208"/>
      <c r="G76" s="206" t="s">
        <v>1495</v>
      </c>
      <c r="H76" s="207" t="s">
        <v>479</v>
      </c>
      <c r="I76" s="207" t="str">
        <f t="shared" si="7"/>
        <v>303-M/E-D_303-M/E-D</v>
      </c>
    </row>
    <row r="77" spans="1:10" hidden="1">
      <c r="A77" s="188" t="s">
        <v>1567</v>
      </c>
      <c r="B77" s="202" t="str">
        <f t="shared" si="8"/>
        <v>304-M/E-D</v>
      </c>
      <c r="C77" s="203" t="s">
        <v>537</v>
      </c>
      <c r="D77" s="354" t="s">
        <v>1810</v>
      </c>
      <c r="E77" s="204" t="s">
        <v>1805</v>
      </c>
      <c r="F77" s="208"/>
      <c r="G77" s="206" t="s">
        <v>1495</v>
      </c>
      <c r="H77" s="207" t="s">
        <v>479</v>
      </c>
      <c r="I77" s="207" t="str">
        <f t="shared" si="7"/>
        <v>304-M/E-D_304-M/E-D</v>
      </c>
    </row>
    <row r="78" spans="1:10" hidden="1">
      <c r="A78" s="188" t="s">
        <v>1568</v>
      </c>
      <c r="B78" s="202" t="str">
        <f t="shared" si="8"/>
        <v>305-M/E-D</v>
      </c>
      <c r="C78" s="203" t="s">
        <v>537</v>
      </c>
      <c r="D78" s="354" t="s">
        <v>1811</v>
      </c>
      <c r="E78" s="204" t="s">
        <v>1805</v>
      </c>
      <c r="F78" s="208"/>
      <c r="G78" s="206" t="s">
        <v>1495</v>
      </c>
      <c r="H78" s="207" t="s">
        <v>479</v>
      </c>
      <c r="I78" s="207" t="str">
        <f t="shared" si="7"/>
        <v>305-M/E-D_305-M/E-D</v>
      </c>
    </row>
    <row r="79" spans="1:10" hidden="1">
      <c r="A79" s="188" t="s">
        <v>1569</v>
      </c>
      <c r="B79" s="202" t="str">
        <f t="shared" si="8"/>
        <v>306-M/E-D</v>
      </c>
      <c r="C79" s="203" t="s">
        <v>537</v>
      </c>
      <c r="D79" s="354" t="s">
        <v>1812</v>
      </c>
      <c r="E79" s="204" t="s">
        <v>1805</v>
      </c>
      <c r="F79" s="208"/>
      <c r="G79" s="206" t="s">
        <v>1495</v>
      </c>
      <c r="H79" s="207" t="s">
        <v>479</v>
      </c>
      <c r="I79" s="207" t="str">
        <f t="shared" si="7"/>
        <v>306-M/E-D_306-M/E-D</v>
      </c>
    </row>
    <row r="80" spans="1:10" hidden="1">
      <c r="A80" s="188" t="s">
        <v>1570</v>
      </c>
      <c r="B80" s="202" t="str">
        <f t="shared" si="8"/>
        <v>307-M/E-D</v>
      </c>
      <c r="C80" s="203" t="s">
        <v>537</v>
      </c>
      <c r="D80" s="354" t="s">
        <v>1813</v>
      </c>
      <c r="E80" s="204" t="s">
        <v>1805</v>
      </c>
      <c r="F80" s="208"/>
      <c r="G80" s="206" t="s">
        <v>1495</v>
      </c>
      <c r="H80" s="207" t="s">
        <v>479</v>
      </c>
      <c r="I80" s="207" t="str">
        <f t="shared" si="7"/>
        <v>307-M/E-D_307-M/E-D</v>
      </c>
    </row>
    <row r="81" spans="1:10" hidden="1">
      <c r="A81" s="188" t="s">
        <v>1571</v>
      </c>
      <c r="B81" s="202" t="str">
        <f t="shared" si="8"/>
        <v>308-M/E-D</v>
      </c>
      <c r="C81" s="203" t="s">
        <v>537</v>
      </c>
      <c r="D81" s="354" t="s">
        <v>1814</v>
      </c>
      <c r="E81" s="204" t="s">
        <v>1805</v>
      </c>
      <c r="F81" s="208"/>
      <c r="G81" s="206" t="s">
        <v>1495</v>
      </c>
      <c r="H81" s="207" t="s">
        <v>479</v>
      </c>
      <c r="I81" s="207" t="str">
        <f t="shared" si="7"/>
        <v>308-M/E-D_308-M/E-D</v>
      </c>
    </row>
    <row r="82" spans="1:10" hidden="1">
      <c r="A82" s="188" t="s">
        <v>1572</v>
      </c>
      <c r="B82" s="202" t="str">
        <f t="shared" si="8"/>
        <v>309-M/E-D</v>
      </c>
      <c r="C82" s="203" t="s">
        <v>537</v>
      </c>
      <c r="D82" s="354" t="s">
        <v>1815</v>
      </c>
      <c r="E82" s="204" t="s">
        <v>1805</v>
      </c>
      <c r="F82" s="208"/>
      <c r="G82" s="206" t="s">
        <v>1495</v>
      </c>
      <c r="H82" s="207" t="s">
        <v>479</v>
      </c>
      <c r="I82" s="207" t="str">
        <f t="shared" si="7"/>
        <v>309-M/E-D_309-M/E-D</v>
      </c>
    </row>
    <row r="83" spans="1:10" hidden="1">
      <c r="A83" s="188" t="s">
        <v>1573</v>
      </c>
      <c r="B83" s="202" t="str">
        <f t="shared" si="8"/>
        <v>310-M/E-D</v>
      </c>
      <c r="C83" s="203" t="s">
        <v>537</v>
      </c>
      <c r="D83" s="354" t="s">
        <v>1816</v>
      </c>
      <c r="E83" s="204" t="s">
        <v>1805</v>
      </c>
      <c r="F83" s="208"/>
      <c r="G83" s="206" t="s">
        <v>1495</v>
      </c>
      <c r="H83" s="207" t="s">
        <v>479</v>
      </c>
      <c r="I83" s="207" t="str">
        <f t="shared" si="7"/>
        <v>310-M/E-D_310-M/E-D</v>
      </c>
    </row>
    <row r="84" spans="1:10" hidden="1">
      <c r="A84" s="188" t="s">
        <v>1574</v>
      </c>
      <c r="B84" s="202" t="str">
        <f t="shared" si="8"/>
        <v>311-M/E-D</v>
      </c>
      <c r="C84" s="203" t="s">
        <v>537</v>
      </c>
      <c r="D84" s="354" t="s">
        <v>1817</v>
      </c>
      <c r="E84" s="204" t="s">
        <v>1805</v>
      </c>
      <c r="F84" s="208"/>
      <c r="G84" s="206" t="s">
        <v>1495</v>
      </c>
      <c r="H84" s="207" t="s">
        <v>479</v>
      </c>
      <c r="I84" s="207" t="str">
        <f t="shared" si="7"/>
        <v>311-M/E-D_311-M/E-D</v>
      </c>
    </row>
    <row r="85" spans="1:10" hidden="1">
      <c r="A85" s="188" t="s">
        <v>1575</v>
      </c>
      <c r="B85" s="202" t="str">
        <f t="shared" si="8"/>
        <v>312-M/E-D</v>
      </c>
      <c r="C85" s="203" t="s">
        <v>537</v>
      </c>
      <c r="D85" s="354" t="s">
        <v>1818</v>
      </c>
      <c r="E85" s="204" t="s">
        <v>1805</v>
      </c>
      <c r="F85" s="208"/>
      <c r="G85" s="206" t="s">
        <v>1495</v>
      </c>
      <c r="H85" s="207" t="s">
        <v>479</v>
      </c>
      <c r="I85" s="207" t="str">
        <f t="shared" si="7"/>
        <v>312-M/E-D_312-M/E-D</v>
      </c>
    </row>
    <row r="86" spans="1:10" s="2" customFormat="1" hidden="1">
      <c r="A86" s="188" t="s">
        <v>1409</v>
      </c>
      <c r="B86" s="202" t="str">
        <f t="shared" si="8"/>
        <v>313-SEC-D</v>
      </c>
      <c r="C86" s="203" t="s">
        <v>537</v>
      </c>
      <c r="D86" s="354" t="s">
        <v>1440</v>
      </c>
      <c r="E86" s="204" t="s">
        <v>1805</v>
      </c>
      <c r="F86" s="208"/>
      <c r="G86" s="206" t="s">
        <v>1495</v>
      </c>
      <c r="H86" s="359" t="s">
        <v>479</v>
      </c>
      <c r="I86" s="359" t="str">
        <f t="shared" si="7"/>
        <v>313-SEC-D_313-SEC-D</v>
      </c>
    </row>
    <row r="87" spans="1:10" s="2" customFormat="1" hidden="1">
      <c r="A87" s="188" t="s">
        <v>1410</v>
      </c>
      <c r="B87" s="202" t="str">
        <f t="shared" si="8"/>
        <v>314-SEC-D</v>
      </c>
      <c r="C87" s="203" t="s">
        <v>537</v>
      </c>
      <c r="D87" s="354" t="s">
        <v>1441</v>
      </c>
      <c r="E87" s="204" t="s">
        <v>1805</v>
      </c>
      <c r="F87" s="208"/>
      <c r="G87" s="206" t="s">
        <v>1495</v>
      </c>
      <c r="H87" s="359" t="s">
        <v>479</v>
      </c>
      <c r="I87" s="359" t="str">
        <f t="shared" si="7"/>
        <v>314-SEC-D_314-SEC-D</v>
      </c>
    </row>
    <row r="88" spans="1:10" s="2" customFormat="1" hidden="1">
      <c r="A88" s="188" t="s">
        <v>1411</v>
      </c>
      <c r="B88" s="202" t="str">
        <f t="shared" si="8"/>
        <v>315-SEC-D</v>
      </c>
      <c r="C88" s="203" t="s">
        <v>537</v>
      </c>
      <c r="D88" s="354" t="s">
        <v>1442</v>
      </c>
      <c r="E88" s="204" t="s">
        <v>1805</v>
      </c>
      <c r="F88" s="208"/>
      <c r="G88" s="206" t="s">
        <v>1495</v>
      </c>
      <c r="H88" s="359" t="s">
        <v>479</v>
      </c>
      <c r="I88" s="359" t="str">
        <f t="shared" si="7"/>
        <v>315-SEC-D_315-SEC-D</v>
      </c>
    </row>
    <row r="89" spans="1:10">
      <c r="A89" s="362" t="s">
        <v>1576</v>
      </c>
      <c r="B89" s="202" t="str">
        <f t="shared" si="8"/>
        <v>370-CON-D</v>
      </c>
      <c r="C89" s="203" t="s">
        <v>537</v>
      </c>
      <c r="D89" s="293" t="s">
        <v>2131</v>
      </c>
      <c r="E89" s="204" t="s">
        <v>74</v>
      </c>
      <c r="F89" s="208"/>
      <c r="G89" s="206" t="s">
        <v>1495</v>
      </c>
      <c r="H89" s="207" t="s">
        <v>479</v>
      </c>
      <c r="I89" s="207" t="str">
        <f t="shared" si="7"/>
        <v>370-CON-D_370-CON-D</v>
      </c>
      <c r="J89" s="1">
        <v>1</v>
      </c>
    </row>
    <row r="90" spans="1:10" hidden="1">
      <c r="A90" s="188" t="s">
        <v>1577</v>
      </c>
      <c r="B90" s="202" t="str">
        <f t="shared" si="8"/>
        <v>371-CON-D</v>
      </c>
      <c r="C90" s="203" t="s">
        <v>537</v>
      </c>
      <c r="D90" s="354" t="s">
        <v>1820</v>
      </c>
      <c r="E90" s="204" t="s">
        <v>1805</v>
      </c>
      <c r="F90" s="208"/>
      <c r="G90" s="206" t="s">
        <v>1495</v>
      </c>
      <c r="H90" s="207" t="s">
        <v>479</v>
      </c>
      <c r="I90" s="207" t="str">
        <f t="shared" si="7"/>
        <v>371-CON-D_371-CON-D</v>
      </c>
    </row>
    <row r="91" spans="1:10">
      <c r="A91" s="362" t="s">
        <v>1412</v>
      </c>
      <c r="B91" s="202" t="str">
        <f t="shared" si="8"/>
        <v>372-MIIC-D</v>
      </c>
      <c r="C91" s="203" t="s">
        <v>537</v>
      </c>
      <c r="D91" s="360" t="s">
        <v>2132</v>
      </c>
      <c r="E91" s="204" t="s">
        <v>74</v>
      </c>
      <c r="F91" s="208"/>
      <c r="G91" s="206" t="s">
        <v>1495</v>
      </c>
      <c r="H91" s="207" t="s">
        <v>479</v>
      </c>
      <c r="I91" s="207" t="str">
        <f t="shared" si="7"/>
        <v>372-MIIC-D_372-MIIC-D</v>
      </c>
      <c r="J91" s="1">
        <v>1</v>
      </c>
    </row>
    <row r="92" spans="1:10" hidden="1">
      <c r="A92" s="188" t="s">
        <v>1413</v>
      </c>
      <c r="B92" s="202" t="str">
        <f t="shared" si="8"/>
        <v>062-MIIC-D</v>
      </c>
      <c r="C92" s="203" t="s">
        <v>537</v>
      </c>
      <c r="D92" s="296" t="s">
        <v>2132</v>
      </c>
      <c r="E92" s="204" t="s">
        <v>1805</v>
      </c>
      <c r="F92" s="208"/>
      <c r="G92" s="206" t="s">
        <v>1495</v>
      </c>
      <c r="H92" s="207" t="s">
        <v>479</v>
      </c>
      <c r="I92" s="207" t="str">
        <f t="shared" si="7"/>
        <v>062-MIIC-D_062-MIIC-D</v>
      </c>
    </row>
    <row r="93" spans="1:10" hidden="1">
      <c r="A93" s="188" t="s">
        <v>1414</v>
      </c>
      <c r="B93" s="202" t="str">
        <f t="shared" si="8"/>
        <v>063-MIIC-D</v>
      </c>
      <c r="C93" s="203" t="s">
        <v>537</v>
      </c>
      <c r="D93" s="354" t="s">
        <v>1821</v>
      </c>
      <c r="E93" s="204" t="s">
        <v>1805</v>
      </c>
      <c r="F93" s="208"/>
      <c r="G93" s="206" t="s">
        <v>1495</v>
      </c>
      <c r="H93" s="207" t="s">
        <v>479</v>
      </c>
      <c r="I93" s="207" t="str">
        <f t="shared" si="7"/>
        <v>063-MIIC-D_063-MIIC-D</v>
      </c>
    </row>
    <row r="94" spans="1:10">
      <c r="A94" s="362" t="s">
        <v>1578</v>
      </c>
      <c r="B94" s="202" t="str">
        <f t="shared" si="8"/>
        <v>375-LFT-D</v>
      </c>
      <c r="C94" s="203" t="s">
        <v>537</v>
      </c>
      <c r="D94" s="293" t="s">
        <v>2133</v>
      </c>
      <c r="E94" s="204" t="s">
        <v>74</v>
      </c>
      <c r="F94" s="208"/>
      <c r="G94" s="206" t="s">
        <v>1495</v>
      </c>
      <c r="H94" s="207" t="s">
        <v>479</v>
      </c>
      <c r="I94" s="207" t="str">
        <f t="shared" si="7"/>
        <v>375-LFT-D_375-LFT-D</v>
      </c>
      <c r="J94" s="1">
        <v>1</v>
      </c>
    </row>
    <row r="95" spans="1:10" hidden="1">
      <c r="A95" s="188" t="s">
        <v>1579</v>
      </c>
      <c r="B95" s="202" t="str">
        <f t="shared" si="8"/>
        <v>376-LFT-D</v>
      </c>
      <c r="C95" s="203" t="s">
        <v>537</v>
      </c>
      <c r="D95" s="353" t="s">
        <v>1699</v>
      </c>
      <c r="E95" s="204" t="s">
        <v>1805</v>
      </c>
      <c r="F95" s="208"/>
      <c r="G95" s="206" t="s">
        <v>1495</v>
      </c>
      <c r="H95" s="207" t="s">
        <v>479</v>
      </c>
      <c r="I95" s="207" t="str">
        <f t="shared" si="7"/>
        <v>376-LFT-D_376-LFT-D</v>
      </c>
    </row>
    <row r="96" spans="1:10" hidden="1">
      <c r="A96" s="188" t="s">
        <v>1580</v>
      </c>
      <c r="B96" s="202" t="str">
        <f t="shared" si="8"/>
        <v>377-LFT-D</v>
      </c>
      <c r="C96" s="203" t="s">
        <v>537</v>
      </c>
      <c r="D96" s="353" t="s">
        <v>1700</v>
      </c>
      <c r="E96" s="204" t="s">
        <v>1805</v>
      </c>
      <c r="F96" s="208"/>
      <c r="G96" s="206" t="s">
        <v>1495</v>
      </c>
      <c r="H96" s="207" t="s">
        <v>479</v>
      </c>
      <c r="I96" s="207" t="str">
        <f t="shared" si="7"/>
        <v>377-LFT-D_377-LFT-D</v>
      </c>
    </row>
    <row r="97" spans="1:10" hidden="1">
      <c r="A97" s="188" t="s">
        <v>1581</v>
      </c>
      <c r="B97" s="202" t="str">
        <f t="shared" si="8"/>
        <v>378-LFT-D</v>
      </c>
      <c r="C97" s="203" t="s">
        <v>537</v>
      </c>
      <c r="D97" s="353" t="s">
        <v>1701</v>
      </c>
      <c r="E97" s="204" t="s">
        <v>1805</v>
      </c>
      <c r="F97" s="208"/>
      <c r="G97" s="206" t="s">
        <v>1495</v>
      </c>
      <c r="H97" s="207" t="s">
        <v>479</v>
      </c>
      <c r="I97" s="207" t="str">
        <f t="shared" si="7"/>
        <v>378-LFT-D_378-LFT-D</v>
      </c>
    </row>
    <row r="98" spans="1:10" hidden="1">
      <c r="A98" s="188" t="s">
        <v>1582</v>
      </c>
      <c r="B98" s="202" t="str">
        <f t="shared" si="8"/>
        <v>379-LFT-D</v>
      </c>
      <c r="C98" s="203" t="s">
        <v>537</v>
      </c>
      <c r="D98" s="353" t="s">
        <v>1702</v>
      </c>
      <c r="E98" s="204" t="s">
        <v>1805</v>
      </c>
      <c r="F98" s="208"/>
      <c r="G98" s="206" t="s">
        <v>1495</v>
      </c>
      <c r="H98" s="207" t="s">
        <v>479</v>
      </c>
      <c r="I98" s="207" t="str">
        <f t="shared" ref="I98:I130" si="9">B98 &amp; "_" &amp; A98</f>
        <v>379-LFT-D_379-LFT-D</v>
      </c>
    </row>
    <row r="99" spans="1:10" hidden="1">
      <c r="A99" s="188" t="s">
        <v>1588</v>
      </c>
      <c r="B99" s="202" t="str">
        <f t="shared" ref="B99" si="10">A99</f>
        <v>394-LFT-D</v>
      </c>
      <c r="C99" s="203" t="s">
        <v>537</v>
      </c>
      <c r="D99" s="353" t="s">
        <v>1705</v>
      </c>
      <c r="E99" s="204" t="s">
        <v>1805</v>
      </c>
      <c r="F99" s="208"/>
      <c r="G99" s="206" t="s">
        <v>1495</v>
      </c>
      <c r="H99" s="207" t="s">
        <v>479</v>
      </c>
      <c r="I99" s="207" t="str">
        <f t="shared" ref="I99" si="11">B99 &amp; "_" &amp; A99</f>
        <v>394-LFT-D_394-LFT-D</v>
      </c>
    </row>
    <row r="100" spans="1:10">
      <c r="A100" s="362" t="s">
        <v>1583</v>
      </c>
      <c r="B100" s="202" t="str">
        <f t="shared" si="8"/>
        <v>380-L/D-D</v>
      </c>
      <c r="C100" s="203" t="s">
        <v>537</v>
      </c>
      <c r="D100" s="293" t="s">
        <v>2134</v>
      </c>
      <c r="E100" s="204" t="s">
        <v>74</v>
      </c>
      <c r="F100" s="208"/>
      <c r="G100" s="206" t="s">
        <v>1495</v>
      </c>
      <c r="H100" s="207" t="s">
        <v>479</v>
      </c>
      <c r="I100" s="207" t="str">
        <f t="shared" si="9"/>
        <v>380-L/D-D_380-L/D-D</v>
      </c>
      <c r="J100" s="1">
        <v>1</v>
      </c>
    </row>
    <row r="101" spans="1:10" hidden="1">
      <c r="A101" s="188" t="s">
        <v>1584</v>
      </c>
      <c r="B101" s="202" t="str">
        <f t="shared" si="8"/>
        <v>390-L/D-D</v>
      </c>
      <c r="C101" s="203" t="s">
        <v>537</v>
      </c>
      <c r="D101" s="353" t="s">
        <v>1703</v>
      </c>
      <c r="E101" s="204" t="s">
        <v>1805</v>
      </c>
      <c r="F101" s="208"/>
      <c r="G101" s="206" t="s">
        <v>1495</v>
      </c>
      <c r="H101" s="207" t="s">
        <v>479</v>
      </c>
      <c r="I101" s="207" t="str">
        <f t="shared" si="9"/>
        <v>390-L/D-D_390-L/D-D</v>
      </c>
    </row>
    <row r="102" spans="1:10" hidden="1">
      <c r="A102" s="188" t="s">
        <v>1585</v>
      </c>
      <c r="B102" s="202" t="str">
        <f t="shared" si="8"/>
        <v>391-L/D-D</v>
      </c>
      <c r="C102" s="203" t="s">
        <v>537</v>
      </c>
      <c r="D102" s="353" t="s">
        <v>1704</v>
      </c>
      <c r="E102" s="204" t="s">
        <v>1805</v>
      </c>
      <c r="F102" s="208"/>
      <c r="G102" s="206" t="s">
        <v>1495</v>
      </c>
      <c r="H102" s="207" t="s">
        <v>479</v>
      </c>
      <c r="I102" s="207" t="str">
        <f t="shared" si="9"/>
        <v>391-L/D-D_391-L/D-D</v>
      </c>
    </row>
    <row r="103" spans="1:10" hidden="1">
      <c r="A103" s="188" t="s">
        <v>1586</v>
      </c>
      <c r="B103" s="202" t="str">
        <f t="shared" si="8"/>
        <v>392-L/D-D</v>
      </c>
      <c r="C103" s="203" t="s">
        <v>537</v>
      </c>
      <c r="D103" s="354" t="s">
        <v>1822</v>
      </c>
      <c r="E103" s="204" t="s">
        <v>1805</v>
      </c>
      <c r="F103" s="208"/>
      <c r="G103" s="206" t="s">
        <v>1495</v>
      </c>
      <c r="H103" s="207" t="s">
        <v>479</v>
      </c>
      <c r="I103" s="207" t="str">
        <f t="shared" si="9"/>
        <v>392-L/D-D_392-L/D-D</v>
      </c>
    </row>
    <row r="104" spans="1:10" hidden="1">
      <c r="A104" s="188" t="s">
        <v>1587</v>
      </c>
      <c r="B104" s="202" t="str">
        <f t="shared" si="8"/>
        <v>393-L/D-D</v>
      </c>
      <c r="C104" s="203" t="s">
        <v>537</v>
      </c>
      <c r="D104" s="354" t="s">
        <v>1823</v>
      </c>
      <c r="E104" s="204" t="s">
        <v>1805</v>
      </c>
      <c r="F104" s="208"/>
      <c r="G104" s="206" t="s">
        <v>1495</v>
      </c>
      <c r="H104" s="207" t="s">
        <v>479</v>
      </c>
      <c r="I104" s="207" t="str">
        <f t="shared" si="9"/>
        <v>393-L/D-D_393-L/D-D</v>
      </c>
    </row>
    <row r="105" spans="1:10" hidden="1">
      <c r="A105" s="188" t="s">
        <v>1589</v>
      </c>
      <c r="B105" s="202" t="str">
        <f t="shared" si="8"/>
        <v>395-L/D-D</v>
      </c>
      <c r="C105" s="203" t="s">
        <v>537</v>
      </c>
      <c r="D105" s="354" t="s">
        <v>1824</v>
      </c>
      <c r="E105" s="204" t="s">
        <v>1805</v>
      </c>
      <c r="F105" s="208"/>
      <c r="G105" s="206" t="s">
        <v>1495</v>
      </c>
      <c r="H105" s="207" t="s">
        <v>479</v>
      </c>
      <c r="I105" s="207" t="str">
        <f t="shared" si="9"/>
        <v>395-L/D-D_395-L/D-D</v>
      </c>
    </row>
    <row r="106" spans="1:10">
      <c r="A106" s="362" t="s">
        <v>1591</v>
      </c>
      <c r="B106" s="202" t="str">
        <f t="shared" si="8"/>
        <v>405-HBP-D</v>
      </c>
      <c r="C106" s="203" t="s">
        <v>537</v>
      </c>
      <c r="D106" s="293" t="s">
        <v>2135</v>
      </c>
      <c r="E106" s="204" t="s">
        <v>74</v>
      </c>
      <c r="F106" s="208"/>
      <c r="G106" s="206" t="s">
        <v>1495</v>
      </c>
      <c r="H106" s="207" t="s">
        <v>479</v>
      </c>
      <c r="I106" s="207" t="str">
        <f t="shared" si="9"/>
        <v>405-HBP-D_405-HBP-D</v>
      </c>
      <c r="J106" s="1">
        <v>1</v>
      </c>
    </row>
    <row r="107" spans="1:10" hidden="1">
      <c r="A107" s="188" t="s">
        <v>1592</v>
      </c>
      <c r="B107" s="202" t="str">
        <f t="shared" si="8"/>
        <v>406-HBP-D</v>
      </c>
      <c r="C107" s="203" t="s">
        <v>537</v>
      </c>
      <c r="D107" s="354" t="s">
        <v>1825</v>
      </c>
      <c r="E107" s="204" t="s">
        <v>1805</v>
      </c>
      <c r="F107" s="208"/>
      <c r="G107" s="206" t="s">
        <v>1495</v>
      </c>
      <c r="H107" s="207" t="s">
        <v>479</v>
      </c>
      <c r="I107" s="207" t="str">
        <f t="shared" si="9"/>
        <v>406-HBP-D_406-HBP-D</v>
      </c>
    </row>
    <row r="108" spans="1:10" hidden="1">
      <c r="A108" s="188" t="s">
        <v>1593</v>
      </c>
      <c r="B108" s="202" t="str">
        <f t="shared" si="8"/>
        <v>407-HBP-D</v>
      </c>
      <c r="C108" s="203" t="s">
        <v>537</v>
      </c>
      <c r="D108" s="354" t="s">
        <v>1826</v>
      </c>
      <c r="E108" s="204" t="s">
        <v>1805</v>
      </c>
      <c r="F108" s="208"/>
      <c r="G108" s="206" t="s">
        <v>1495</v>
      </c>
      <c r="H108" s="207" t="s">
        <v>479</v>
      </c>
      <c r="I108" s="207" t="str">
        <f t="shared" si="9"/>
        <v>407-HBP-D_407-HBP-D</v>
      </c>
    </row>
    <row r="109" spans="1:10" hidden="1">
      <c r="A109" s="188" t="s">
        <v>1594</v>
      </c>
      <c r="B109" s="202" t="str">
        <f t="shared" si="8"/>
        <v>408-HBP-D</v>
      </c>
      <c r="C109" s="203" t="s">
        <v>537</v>
      </c>
      <c r="D109" s="354" t="s">
        <v>1827</v>
      </c>
      <c r="E109" s="204" t="s">
        <v>1805</v>
      </c>
      <c r="F109" s="208"/>
      <c r="G109" s="206" t="s">
        <v>1495</v>
      </c>
      <c r="H109" s="207" t="s">
        <v>479</v>
      </c>
      <c r="I109" s="207" t="str">
        <f t="shared" si="9"/>
        <v>408-HBP-D_408-HBP-D</v>
      </c>
    </row>
    <row r="110" spans="1:10" hidden="1">
      <c r="A110" s="188" t="s">
        <v>1599</v>
      </c>
      <c r="B110" s="202" t="str">
        <f t="shared" ref="B110:B111" si="12">A110</f>
        <v>415-HBP-D</v>
      </c>
      <c r="C110" s="203" t="s">
        <v>537</v>
      </c>
      <c r="D110" s="354" t="s">
        <v>1832</v>
      </c>
      <c r="E110" s="204" t="s">
        <v>1805</v>
      </c>
      <c r="F110" s="208"/>
      <c r="G110" s="206" t="s">
        <v>1495</v>
      </c>
      <c r="H110" s="207" t="s">
        <v>479</v>
      </c>
      <c r="I110" s="207" t="str">
        <f t="shared" ref="I110:I111" si="13">B110 &amp; "_" &amp; A110</f>
        <v>415-HBP-D_415-HBP-D</v>
      </c>
    </row>
    <row r="111" spans="1:10" hidden="1">
      <c r="A111" s="188" t="s">
        <v>1600</v>
      </c>
      <c r="B111" s="202" t="str">
        <f t="shared" si="12"/>
        <v>416-HBP-D</v>
      </c>
      <c r="C111" s="203" t="s">
        <v>537</v>
      </c>
      <c r="D111" s="354" t="s">
        <v>1833</v>
      </c>
      <c r="E111" s="204" t="s">
        <v>1805</v>
      </c>
      <c r="F111" s="208"/>
      <c r="G111" s="206" t="s">
        <v>1495</v>
      </c>
      <c r="H111" s="207" t="s">
        <v>479</v>
      </c>
      <c r="I111" s="207" t="str">
        <f t="shared" si="13"/>
        <v>416-HBP-D_416-HBP-D</v>
      </c>
    </row>
    <row r="112" spans="1:10">
      <c r="A112" s="362" t="s">
        <v>1590</v>
      </c>
      <c r="B112" s="202" t="str">
        <f t="shared" ref="B112" si="14">A112</f>
        <v>400-SRT-D</v>
      </c>
      <c r="C112" s="203" t="s">
        <v>537</v>
      </c>
      <c r="D112" s="293" t="s">
        <v>2136</v>
      </c>
      <c r="E112" s="204" t="s">
        <v>74</v>
      </c>
      <c r="F112" s="208"/>
      <c r="G112" s="206" t="s">
        <v>1495</v>
      </c>
      <c r="H112" s="207" t="s">
        <v>479</v>
      </c>
      <c r="I112" s="207" t="str">
        <f t="shared" ref="I112" si="15">B112 &amp; "_" &amp; A112</f>
        <v>400-SRT-D_400-SRT-D</v>
      </c>
      <c r="J112" s="1">
        <v>1</v>
      </c>
    </row>
    <row r="113" spans="1:10" hidden="1">
      <c r="A113" s="188" t="s">
        <v>1595</v>
      </c>
      <c r="B113" s="202" t="str">
        <f t="shared" si="8"/>
        <v>410-SRT-D</v>
      </c>
      <c r="C113" s="203" t="s">
        <v>537</v>
      </c>
      <c r="D113" s="354" t="s">
        <v>1828</v>
      </c>
      <c r="E113" s="204" t="s">
        <v>1805</v>
      </c>
      <c r="F113" s="208"/>
      <c r="G113" s="206" t="s">
        <v>1495</v>
      </c>
      <c r="H113" s="207" t="s">
        <v>479</v>
      </c>
      <c r="I113" s="207" t="str">
        <f t="shared" si="9"/>
        <v>410-SRT-D_410-SRT-D</v>
      </c>
    </row>
    <row r="114" spans="1:10" hidden="1">
      <c r="A114" s="188" t="s">
        <v>1596</v>
      </c>
      <c r="B114" s="202" t="str">
        <f t="shared" si="8"/>
        <v>411-SRT-D</v>
      </c>
      <c r="C114" s="203" t="s">
        <v>537</v>
      </c>
      <c r="D114" s="354" t="s">
        <v>1829</v>
      </c>
      <c r="E114" s="204" t="s">
        <v>1805</v>
      </c>
      <c r="F114" s="208"/>
      <c r="G114" s="206" t="s">
        <v>1495</v>
      </c>
      <c r="H114" s="207" t="s">
        <v>479</v>
      </c>
      <c r="I114" s="207" t="str">
        <f t="shared" si="9"/>
        <v>411-SRT-D_411-SRT-D</v>
      </c>
    </row>
    <row r="115" spans="1:10" hidden="1">
      <c r="A115" s="188" t="s">
        <v>1597</v>
      </c>
      <c r="B115" s="202" t="str">
        <f t="shared" si="8"/>
        <v>412-SRT-D</v>
      </c>
      <c r="C115" s="203" t="s">
        <v>537</v>
      </c>
      <c r="D115" s="354" t="s">
        <v>1830</v>
      </c>
      <c r="E115" s="204" t="s">
        <v>1805</v>
      </c>
      <c r="F115" s="208"/>
      <c r="G115" s="206" t="s">
        <v>1495</v>
      </c>
      <c r="H115" s="207" t="s">
        <v>479</v>
      </c>
      <c r="I115" s="207" t="str">
        <f t="shared" si="9"/>
        <v>412-SRT-D_412-SRT-D</v>
      </c>
    </row>
    <row r="116" spans="1:10" hidden="1">
      <c r="A116" s="188" t="s">
        <v>1598</v>
      </c>
      <c r="B116" s="202" t="str">
        <f t="shared" si="8"/>
        <v>413-SRT-D</v>
      </c>
      <c r="C116" s="203" t="s">
        <v>537</v>
      </c>
      <c r="D116" s="354" t="s">
        <v>1831</v>
      </c>
      <c r="E116" s="204" t="s">
        <v>1805</v>
      </c>
      <c r="F116" s="208"/>
      <c r="G116" s="206" t="s">
        <v>1495</v>
      </c>
      <c r="H116" s="207" t="s">
        <v>479</v>
      </c>
      <c r="I116" s="207" t="str">
        <f t="shared" si="9"/>
        <v>413-SRT-D_413-SRT-D</v>
      </c>
    </row>
    <row r="117" spans="1:10" hidden="1">
      <c r="A117" s="188" t="s">
        <v>1601</v>
      </c>
      <c r="B117" s="202" t="str">
        <f t="shared" si="8"/>
        <v>418-SRT-D</v>
      </c>
      <c r="C117" s="203" t="s">
        <v>537</v>
      </c>
      <c r="D117" s="354" t="s">
        <v>1834</v>
      </c>
      <c r="E117" s="204" t="s">
        <v>1805</v>
      </c>
      <c r="F117" s="208"/>
      <c r="G117" s="206" t="s">
        <v>1495</v>
      </c>
      <c r="H117" s="207" t="s">
        <v>479</v>
      </c>
      <c r="I117" s="207" t="str">
        <f t="shared" si="9"/>
        <v>418-SRT-D_418-SRT-D</v>
      </c>
    </row>
    <row r="118" spans="1:10">
      <c r="A118" s="188" t="s">
        <v>1416</v>
      </c>
      <c r="B118" s="202" t="str">
        <f t="shared" si="8"/>
        <v>426-ACR-D</v>
      </c>
      <c r="C118" s="203" t="s">
        <v>537</v>
      </c>
      <c r="D118" s="293" t="s">
        <v>2137</v>
      </c>
      <c r="E118" s="204" t="s">
        <v>74</v>
      </c>
      <c r="F118" s="208"/>
      <c r="G118" s="206" t="s">
        <v>1495</v>
      </c>
      <c r="H118" s="207" t="s">
        <v>479</v>
      </c>
      <c r="I118" s="207" t="str">
        <f t="shared" si="9"/>
        <v>426-ACR-D_426-ACR-D</v>
      </c>
    </row>
    <row r="119" spans="1:10" hidden="1">
      <c r="A119" s="188" t="s">
        <v>1417</v>
      </c>
      <c r="B119" s="202" t="str">
        <f t="shared" si="8"/>
        <v>427-ACR-D</v>
      </c>
      <c r="C119" s="203" t="s">
        <v>537</v>
      </c>
      <c r="D119" s="353" t="s">
        <v>1443</v>
      </c>
      <c r="E119" s="204" t="s">
        <v>1805</v>
      </c>
      <c r="F119" s="208"/>
      <c r="G119" s="206" t="s">
        <v>1495</v>
      </c>
      <c r="H119" s="207" t="s">
        <v>479</v>
      </c>
      <c r="I119" s="207" t="str">
        <f t="shared" si="9"/>
        <v>427-ACR-D_427-ACR-D</v>
      </c>
    </row>
    <row r="120" spans="1:10" hidden="1">
      <c r="A120" s="188" t="s">
        <v>1418</v>
      </c>
      <c r="B120" s="202" t="str">
        <f t="shared" si="8"/>
        <v>428-ACR-D</v>
      </c>
      <c r="C120" s="203" t="s">
        <v>537</v>
      </c>
      <c r="D120" s="353" t="s">
        <v>1444</v>
      </c>
      <c r="E120" s="204" t="s">
        <v>1805</v>
      </c>
      <c r="F120" s="208"/>
      <c r="G120" s="206" t="s">
        <v>1495</v>
      </c>
      <c r="H120" s="207" t="s">
        <v>479</v>
      </c>
      <c r="I120" s="207" t="str">
        <f t="shared" si="9"/>
        <v>428-ACR-D_428-ACR-D</v>
      </c>
    </row>
    <row r="121" spans="1:10">
      <c r="A121" s="362" t="s">
        <v>1602</v>
      </c>
      <c r="B121" s="202" t="str">
        <f t="shared" ref="B121" si="16">A121</f>
        <v>420-PTH-D</v>
      </c>
      <c r="C121" s="203" t="s">
        <v>537</v>
      </c>
      <c r="D121" s="293" t="s">
        <v>2138</v>
      </c>
      <c r="E121" s="204" t="s">
        <v>74</v>
      </c>
      <c r="F121" s="208"/>
      <c r="G121" s="206" t="s">
        <v>1495</v>
      </c>
      <c r="H121" s="207" t="s">
        <v>479</v>
      </c>
      <c r="I121" s="207" t="str">
        <f t="shared" ref="I121" si="17">B121 &amp; "_" &amp; A121</f>
        <v>420-PTH-D_420-PTH-D</v>
      </c>
      <c r="J121" s="1">
        <v>1</v>
      </c>
    </row>
    <row r="122" spans="1:10" hidden="1">
      <c r="A122" s="188" t="s">
        <v>1603</v>
      </c>
      <c r="B122" s="202" t="str">
        <f t="shared" si="8"/>
        <v>430-PTH-D</v>
      </c>
      <c r="C122" s="203" t="s">
        <v>537</v>
      </c>
      <c r="D122" s="353" t="s">
        <v>1706</v>
      </c>
      <c r="E122" s="204" t="s">
        <v>1805</v>
      </c>
      <c r="F122" s="208"/>
      <c r="G122" s="206" t="s">
        <v>1495</v>
      </c>
      <c r="H122" s="207" t="s">
        <v>479</v>
      </c>
      <c r="I122" s="207" t="str">
        <f t="shared" si="9"/>
        <v>430-PTH-D_430-PTH-D</v>
      </c>
    </row>
    <row r="123" spans="1:10" hidden="1">
      <c r="A123" s="188" t="s">
        <v>1604</v>
      </c>
      <c r="B123" s="202" t="str">
        <f t="shared" ref="B123:B127" si="18">A123</f>
        <v>440-PTH-D</v>
      </c>
      <c r="C123" s="203" t="s">
        <v>537</v>
      </c>
      <c r="D123" s="353" t="s">
        <v>1707</v>
      </c>
      <c r="E123" s="204" t="s">
        <v>1805</v>
      </c>
      <c r="F123" s="208"/>
      <c r="G123" s="206" t="s">
        <v>1495</v>
      </c>
      <c r="H123" s="207" t="s">
        <v>479</v>
      </c>
      <c r="I123" s="207" t="str">
        <f t="shared" ref="I123:I127" si="19">B123 &amp; "_" &amp; A123</f>
        <v>440-PTH-D_440-PTH-D</v>
      </c>
    </row>
    <row r="124" spans="1:10" hidden="1">
      <c r="A124" s="188" t="s">
        <v>1605</v>
      </c>
      <c r="B124" s="202" t="str">
        <f t="shared" si="18"/>
        <v>445-PTH-D</v>
      </c>
      <c r="C124" s="203" t="s">
        <v>537</v>
      </c>
      <c r="D124" s="353" t="s">
        <v>1708</v>
      </c>
      <c r="E124" s="204" t="s">
        <v>1805</v>
      </c>
      <c r="F124" s="208"/>
      <c r="G124" s="206" t="s">
        <v>1495</v>
      </c>
      <c r="H124" s="207" t="s">
        <v>479</v>
      </c>
      <c r="I124" s="207" t="str">
        <f t="shared" si="19"/>
        <v>445-PTH-D_445-PTH-D</v>
      </c>
    </row>
    <row r="125" spans="1:10" hidden="1">
      <c r="A125" s="188" t="s">
        <v>1606</v>
      </c>
      <c r="B125" s="202" t="str">
        <f t="shared" si="18"/>
        <v>450-PTH-D</v>
      </c>
      <c r="C125" s="203" t="s">
        <v>537</v>
      </c>
      <c r="D125" s="353" t="s">
        <v>1709</v>
      </c>
      <c r="E125" s="204" t="s">
        <v>1805</v>
      </c>
      <c r="F125" s="208"/>
      <c r="G125" s="206" t="s">
        <v>1495</v>
      </c>
      <c r="H125" s="207" t="s">
        <v>479</v>
      </c>
      <c r="I125" s="207" t="str">
        <f t="shared" si="19"/>
        <v>450-PTH-D_450-PTH-D</v>
      </c>
    </row>
    <row r="126" spans="1:10" hidden="1">
      <c r="A126" s="294" t="s">
        <v>1774</v>
      </c>
      <c r="B126" s="6" t="str">
        <f t="shared" si="18"/>
        <v>455-PTH-D</v>
      </c>
      <c r="C126" s="37" t="s">
        <v>537</v>
      </c>
      <c r="D126" s="355" t="s">
        <v>1793</v>
      </c>
      <c r="E126" s="292" t="s">
        <v>1805</v>
      </c>
      <c r="G126" s="206" t="s">
        <v>1495</v>
      </c>
      <c r="H126" s="207" t="s">
        <v>479</v>
      </c>
      <c r="I126" s="1" t="str">
        <f t="shared" si="19"/>
        <v>455-PTH-D_455-PTH-D</v>
      </c>
    </row>
    <row r="127" spans="1:10">
      <c r="A127" s="188" t="s">
        <v>1415</v>
      </c>
      <c r="B127" s="202" t="str">
        <f t="shared" si="18"/>
        <v>425-HPTH-D</v>
      </c>
      <c r="C127" s="203" t="s">
        <v>537</v>
      </c>
      <c r="D127" s="293" t="s">
        <v>2139</v>
      </c>
      <c r="E127" s="204" t="s">
        <v>74</v>
      </c>
      <c r="F127" s="208"/>
      <c r="G127" s="206" t="s">
        <v>1495</v>
      </c>
      <c r="H127" s="207" t="s">
        <v>479</v>
      </c>
      <c r="I127" s="207" t="str">
        <f t="shared" si="19"/>
        <v>425-HPTH-D_425-HPTH-D</v>
      </c>
    </row>
    <row r="128" spans="1:10" hidden="1">
      <c r="A128" s="188" t="s">
        <v>1419</v>
      </c>
      <c r="B128" s="202" t="str">
        <f t="shared" si="8"/>
        <v>435-HPTH-D</v>
      </c>
      <c r="C128" s="203" t="s">
        <v>537</v>
      </c>
      <c r="D128" s="353" t="s">
        <v>1445</v>
      </c>
      <c r="E128" s="204" t="s">
        <v>1805</v>
      </c>
      <c r="F128" s="208"/>
      <c r="G128" s="206" t="s">
        <v>1495</v>
      </c>
      <c r="H128" s="207" t="s">
        <v>479</v>
      </c>
      <c r="I128" s="207" t="str">
        <f t="shared" si="9"/>
        <v>435-HPTH-D_435-HPTH-D</v>
      </c>
    </row>
    <row r="129" spans="1:10" hidden="1">
      <c r="A129" s="188" t="s">
        <v>1420</v>
      </c>
      <c r="B129" s="202" t="str">
        <f t="shared" si="8"/>
        <v>442-HPTH-D</v>
      </c>
      <c r="C129" s="203" t="s">
        <v>537</v>
      </c>
      <c r="D129" s="353" t="s">
        <v>1446</v>
      </c>
      <c r="E129" s="204" t="s">
        <v>1805</v>
      </c>
      <c r="F129" s="208"/>
      <c r="G129" s="206" t="s">
        <v>1495</v>
      </c>
      <c r="H129" s="207" t="s">
        <v>479</v>
      </c>
      <c r="I129" s="207" t="str">
        <f t="shared" si="9"/>
        <v>442-HPTH-D_442-HPTH-D</v>
      </c>
    </row>
    <row r="130" spans="1:10" hidden="1">
      <c r="A130" s="188" t="s">
        <v>1421</v>
      </c>
      <c r="B130" s="202" t="str">
        <f t="shared" si="8"/>
        <v>447-HPTH-D</v>
      </c>
      <c r="C130" s="203" t="s">
        <v>537</v>
      </c>
      <c r="D130" s="353" t="s">
        <v>1447</v>
      </c>
      <c r="E130" s="204" t="s">
        <v>1805</v>
      </c>
      <c r="F130" s="208"/>
      <c r="G130" s="206" t="s">
        <v>1495</v>
      </c>
      <c r="H130" s="207" t="s">
        <v>479</v>
      </c>
      <c r="I130" s="207" t="str">
        <f t="shared" si="9"/>
        <v>447-HPTH-D_447-HPTH-D</v>
      </c>
    </row>
    <row r="131" spans="1:10" hidden="1">
      <c r="A131" s="188" t="s">
        <v>1422</v>
      </c>
      <c r="B131" s="202" t="str">
        <f t="shared" si="8"/>
        <v>451-HPTH-D</v>
      </c>
      <c r="C131" s="203" t="s">
        <v>537</v>
      </c>
      <c r="D131" s="353" t="s">
        <v>1448</v>
      </c>
      <c r="E131" s="204" t="s">
        <v>1805</v>
      </c>
      <c r="F131" s="208"/>
      <c r="G131" s="206" t="s">
        <v>1495</v>
      </c>
      <c r="H131" s="207" t="s">
        <v>479</v>
      </c>
      <c r="I131" s="207" t="str">
        <f t="shared" ref="I131:I164" si="20">B131 &amp; "_" &amp; A131</f>
        <v>451-HPTH-D_451-HPTH-D</v>
      </c>
    </row>
    <row r="132" spans="1:10">
      <c r="A132" s="362" t="s">
        <v>1607</v>
      </c>
      <c r="B132" s="202" t="str">
        <f t="shared" ref="B132:B196" si="21">A132</f>
        <v>460-EPL-D</v>
      </c>
      <c r="C132" s="203" t="s">
        <v>537</v>
      </c>
      <c r="D132" s="293" t="s">
        <v>2140</v>
      </c>
      <c r="E132" s="204" t="s">
        <v>74</v>
      </c>
      <c r="F132" s="208"/>
      <c r="G132" s="206" t="s">
        <v>1495</v>
      </c>
      <c r="H132" s="207" t="s">
        <v>479</v>
      </c>
      <c r="I132" s="207" t="str">
        <f t="shared" si="20"/>
        <v>460-EPL-D_460-EPL-D</v>
      </c>
      <c r="J132" s="1">
        <v>1</v>
      </c>
    </row>
    <row r="133" spans="1:10" hidden="1">
      <c r="A133" s="188" t="s">
        <v>1608</v>
      </c>
      <c r="B133" s="202" t="str">
        <f t="shared" si="21"/>
        <v>480-EPL-D</v>
      </c>
      <c r="C133" s="203" t="s">
        <v>537</v>
      </c>
      <c r="D133" s="353" t="s">
        <v>1710</v>
      </c>
      <c r="E133" s="204" t="s">
        <v>1805</v>
      </c>
      <c r="F133" s="208"/>
      <c r="G133" s="206" t="s">
        <v>1495</v>
      </c>
      <c r="H133" s="207" t="s">
        <v>479</v>
      </c>
      <c r="I133" s="207" t="str">
        <f t="shared" si="20"/>
        <v>480-EPL-D_480-EPL-D</v>
      </c>
    </row>
    <row r="134" spans="1:10" hidden="1">
      <c r="A134" s="188" t="s">
        <v>1609</v>
      </c>
      <c r="B134" s="202" t="str">
        <f t="shared" si="21"/>
        <v>490-EPL-D</v>
      </c>
      <c r="C134" s="203" t="s">
        <v>537</v>
      </c>
      <c r="D134" s="353" t="s">
        <v>1711</v>
      </c>
      <c r="E134" s="204" t="s">
        <v>1805</v>
      </c>
      <c r="F134" s="208"/>
      <c r="G134" s="206" t="s">
        <v>1495</v>
      </c>
      <c r="H134" s="207" t="s">
        <v>479</v>
      </c>
      <c r="I134" s="207" t="str">
        <f t="shared" si="20"/>
        <v>490-EPL-D_490-EPL-D</v>
      </c>
    </row>
    <row r="135" spans="1:10" hidden="1">
      <c r="A135" s="188" t="s">
        <v>1423</v>
      </c>
      <c r="B135" s="202" t="str">
        <f t="shared" si="21"/>
        <v>491-EPL-D</v>
      </c>
      <c r="C135" s="203" t="s">
        <v>537</v>
      </c>
      <c r="D135" s="353" t="s">
        <v>1712</v>
      </c>
      <c r="E135" s="204" t="s">
        <v>1805</v>
      </c>
      <c r="F135" s="208"/>
      <c r="G135" s="206" t="s">
        <v>1495</v>
      </c>
      <c r="H135" s="207" t="s">
        <v>479</v>
      </c>
      <c r="I135" s="207" t="str">
        <f t="shared" si="20"/>
        <v>491-EPL-D_491-EPL-D</v>
      </c>
    </row>
    <row r="136" spans="1:10">
      <c r="A136" s="188" t="s">
        <v>1610</v>
      </c>
      <c r="B136" s="202" t="str">
        <f t="shared" si="21"/>
        <v>520-RCC-D</v>
      </c>
      <c r="C136" s="203" t="s">
        <v>537</v>
      </c>
      <c r="D136" s="210" t="s">
        <v>1713</v>
      </c>
      <c r="E136" s="204" t="s">
        <v>74</v>
      </c>
      <c r="F136" s="208"/>
      <c r="G136" s="206" t="s">
        <v>1495</v>
      </c>
      <c r="H136" s="207" t="s">
        <v>479</v>
      </c>
      <c r="I136" s="207" t="str">
        <f t="shared" si="20"/>
        <v>520-RCC-D_520-RCC-D</v>
      </c>
    </row>
    <row r="137" spans="1:10">
      <c r="A137" s="362" t="s">
        <v>1424</v>
      </c>
      <c r="B137" s="202" t="str">
        <f t="shared" si="21"/>
        <v>525-RBVH-D</v>
      </c>
      <c r="C137" s="203" t="s">
        <v>537</v>
      </c>
      <c r="D137" s="293" t="s">
        <v>2141</v>
      </c>
      <c r="E137" s="204" t="s">
        <v>74</v>
      </c>
      <c r="F137" s="208"/>
      <c r="G137" s="206" t="s">
        <v>1495</v>
      </c>
      <c r="H137" s="207" t="s">
        <v>479</v>
      </c>
      <c r="I137" s="207" t="str">
        <f t="shared" si="20"/>
        <v>525-RBVH-D_525-RBVH-D</v>
      </c>
      <c r="J137" s="1">
        <v>1</v>
      </c>
    </row>
    <row r="138" spans="1:10" hidden="1">
      <c r="A138" s="6" t="s">
        <v>1784</v>
      </c>
      <c r="B138" s="6" t="str">
        <f t="shared" si="21"/>
        <v>526-RBVH-D</v>
      </c>
      <c r="C138" s="37" t="s">
        <v>537</v>
      </c>
      <c r="D138" s="356" t="s">
        <v>1842</v>
      </c>
      <c r="E138" s="292" t="s">
        <v>1805</v>
      </c>
      <c r="G138" s="206" t="s">
        <v>1495</v>
      </c>
      <c r="H138" s="207" t="s">
        <v>479</v>
      </c>
      <c r="I138" s="1" t="str">
        <f t="shared" si="20"/>
        <v>526-RBVH-D_526-RBVH-D</v>
      </c>
    </row>
    <row r="139" spans="1:10">
      <c r="A139" s="188" t="s">
        <v>1611</v>
      </c>
      <c r="B139" s="202" t="str">
        <f t="shared" si="21"/>
        <v>527-SBA-D</v>
      </c>
      <c r="C139" s="203" t="s">
        <v>537</v>
      </c>
      <c r="D139" s="293" t="s">
        <v>2142</v>
      </c>
      <c r="E139" s="204" t="s">
        <v>74</v>
      </c>
      <c r="F139" s="208"/>
      <c r="G139" s="206" t="s">
        <v>1495</v>
      </c>
      <c r="H139" s="207" t="s">
        <v>479</v>
      </c>
      <c r="I139" s="207" t="str">
        <f t="shared" si="20"/>
        <v>527-SBA-D_527-SBA-D</v>
      </c>
    </row>
    <row r="140" spans="1:10" hidden="1">
      <c r="A140" s="188" t="s">
        <v>1612</v>
      </c>
      <c r="B140" s="202" t="str">
        <f t="shared" si="21"/>
        <v>528-SBA-D</v>
      </c>
      <c r="C140" s="203" t="s">
        <v>537</v>
      </c>
      <c r="D140" s="353" t="s">
        <v>1714</v>
      </c>
      <c r="E140" s="204" t="s">
        <v>1805</v>
      </c>
      <c r="F140" s="208"/>
      <c r="G140" s="206" t="s">
        <v>1495</v>
      </c>
      <c r="H140" s="207" t="s">
        <v>479</v>
      </c>
      <c r="I140" s="207" t="str">
        <f t="shared" si="20"/>
        <v>528-SBA-D_528-SBA-D</v>
      </c>
    </row>
    <row r="141" spans="1:10" hidden="1">
      <c r="A141" s="188" t="s">
        <v>1613</v>
      </c>
      <c r="B141" s="202" t="str">
        <f t="shared" si="21"/>
        <v>529-SBA-D</v>
      </c>
      <c r="C141" s="203" t="s">
        <v>537</v>
      </c>
      <c r="D141" s="353" t="s">
        <v>1715</v>
      </c>
      <c r="E141" s="204" t="s">
        <v>1805</v>
      </c>
      <c r="F141" s="208"/>
      <c r="G141" s="206" t="s">
        <v>1495</v>
      </c>
      <c r="H141" s="207" t="s">
        <v>479</v>
      </c>
      <c r="I141" s="207" t="str">
        <f t="shared" si="20"/>
        <v>529-SBA-D_529-SBA-D</v>
      </c>
    </row>
    <row r="142" spans="1:10">
      <c r="A142" s="362" t="s">
        <v>1614</v>
      </c>
      <c r="B142" s="202" t="str">
        <f t="shared" si="21"/>
        <v>530-DFO-D</v>
      </c>
      <c r="C142" s="203" t="s">
        <v>537</v>
      </c>
      <c r="D142" s="210" t="s">
        <v>1716</v>
      </c>
      <c r="E142" s="204" t="s">
        <v>74</v>
      </c>
      <c r="F142" s="208"/>
      <c r="G142" s="206" t="s">
        <v>1495</v>
      </c>
      <c r="H142" s="207" t="s">
        <v>479</v>
      </c>
      <c r="I142" s="207" t="str">
        <f t="shared" si="20"/>
        <v>530-DFO-D_530-DFO-D</v>
      </c>
      <c r="J142" s="1">
        <v>2</v>
      </c>
    </row>
    <row r="143" spans="1:10">
      <c r="A143" s="362" t="s">
        <v>1615</v>
      </c>
      <c r="B143" s="202" t="str">
        <f t="shared" si="21"/>
        <v>540-MIO-D</v>
      </c>
      <c r="C143" s="203" t="s">
        <v>537</v>
      </c>
      <c r="D143" s="210" t="s">
        <v>1717</v>
      </c>
      <c r="E143" s="204" t="s">
        <v>74</v>
      </c>
      <c r="F143" s="208"/>
      <c r="G143" s="206" t="s">
        <v>1495</v>
      </c>
      <c r="H143" s="207" t="s">
        <v>479</v>
      </c>
      <c r="I143" s="207" t="str">
        <f t="shared" si="20"/>
        <v>540-MIO-D_540-MIO-D</v>
      </c>
      <c r="J143" s="1">
        <v>2</v>
      </c>
    </row>
    <row r="144" spans="1:10">
      <c r="A144" s="188" t="s">
        <v>1616</v>
      </c>
      <c r="B144" s="202" t="str">
        <f t="shared" si="21"/>
        <v>579-SML-D</v>
      </c>
      <c r="C144" s="203" t="s">
        <v>537</v>
      </c>
      <c r="D144" s="210" t="s">
        <v>1718</v>
      </c>
      <c r="E144" s="204" t="s">
        <v>74</v>
      </c>
      <c r="F144" s="208"/>
      <c r="G144" s="206" t="s">
        <v>1495</v>
      </c>
      <c r="H144" s="207" t="s">
        <v>479</v>
      </c>
      <c r="I144" s="207" t="str">
        <f t="shared" si="20"/>
        <v>579-SML-D_579-SML-D</v>
      </c>
    </row>
    <row r="145" spans="1:10">
      <c r="A145" s="362" t="s">
        <v>1617</v>
      </c>
      <c r="B145" s="202" t="str">
        <f t="shared" si="21"/>
        <v>580-SMP-D</v>
      </c>
      <c r="C145" s="203" t="s">
        <v>537</v>
      </c>
      <c r="D145" s="210" t="s">
        <v>1719</v>
      </c>
      <c r="E145" s="204" t="s">
        <v>74</v>
      </c>
      <c r="F145" s="208"/>
      <c r="G145" s="206" t="s">
        <v>1495</v>
      </c>
      <c r="H145" s="207" t="s">
        <v>479</v>
      </c>
      <c r="I145" s="207" t="str">
        <f t="shared" si="20"/>
        <v>580-SMP-D_580-SMP-D</v>
      </c>
      <c r="J145" s="1">
        <v>2</v>
      </c>
    </row>
    <row r="146" spans="1:10">
      <c r="A146" s="188" t="s">
        <v>1618</v>
      </c>
      <c r="B146" s="202" t="str">
        <f t="shared" si="21"/>
        <v>581-LAM-D</v>
      </c>
      <c r="C146" s="203" t="s">
        <v>537</v>
      </c>
      <c r="D146" s="210" t="s">
        <v>1720</v>
      </c>
      <c r="E146" s="204" t="s">
        <v>74</v>
      </c>
      <c r="F146" s="208"/>
      <c r="G146" s="206" t="s">
        <v>1495</v>
      </c>
      <c r="H146" s="207" t="s">
        <v>479</v>
      </c>
      <c r="I146" s="207" t="str">
        <f t="shared" si="20"/>
        <v>581-LAM-D_581-LAM-D</v>
      </c>
    </row>
    <row r="147" spans="1:10">
      <c r="A147" s="188" t="s">
        <v>1619</v>
      </c>
      <c r="B147" s="202" t="str">
        <f t="shared" si="21"/>
        <v>582-STR-D</v>
      </c>
      <c r="C147" s="203" t="s">
        <v>537</v>
      </c>
      <c r="D147" s="210" t="s">
        <v>1721</v>
      </c>
      <c r="E147" s="204" t="s">
        <v>74</v>
      </c>
      <c r="F147" s="208"/>
      <c r="G147" s="206" t="s">
        <v>1495</v>
      </c>
      <c r="H147" s="207" t="s">
        <v>479</v>
      </c>
      <c r="I147" s="207" t="str">
        <f t="shared" si="20"/>
        <v>582-STR-D_582-STR-D</v>
      </c>
    </row>
    <row r="148" spans="1:10">
      <c r="A148" s="188" t="s">
        <v>1425</v>
      </c>
      <c r="B148" s="202" t="str">
        <f t="shared" si="21"/>
        <v>585-TAPE-D</v>
      </c>
      <c r="C148" s="203" t="s">
        <v>537</v>
      </c>
      <c r="D148" s="210" t="s">
        <v>1722</v>
      </c>
      <c r="E148" s="204" t="s">
        <v>74</v>
      </c>
      <c r="F148" s="208"/>
      <c r="G148" s="206" t="s">
        <v>1495</v>
      </c>
      <c r="H148" s="207" t="s">
        <v>479</v>
      </c>
      <c r="I148" s="207" t="str">
        <f t="shared" si="20"/>
        <v>585-TAPE-D_585-TAPE-D</v>
      </c>
    </row>
    <row r="149" spans="1:10">
      <c r="A149" s="188" t="s">
        <v>1620</v>
      </c>
      <c r="B149" s="202" t="str">
        <f t="shared" si="21"/>
        <v>586-STR-D</v>
      </c>
      <c r="C149" s="203" t="s">
        <v>537</v>
      </c>
      <c r="D149" s="302" t="s">
        <v>1835</v>
      </c>
      <c r="E149" s="204" t="s">
        <v>74</v>
      </c>
      <c r="F149" s="208"/>
      <c r="G149" s="206" t="s">
        <v>1495</v>
      </c>
      <c r="H149" s="207" t="s">
        <v>479</v>
      </c>
      <c r="I149" s="207" t="str">
        <f t="shared" si="20"/>
        <v>586-STR-D_586-STR-D</v>
      </c>
    </row>
    <row r="150" spans="1:10">
      <c r="A150" s="188" t="s">
        <v>1621</v>
      </c>
      <c r="B150" s="202" t="str">
        <f t="shared" si="21"/>
        <v>587-JS-D</v>
      </c>
      <c r="C150" s="203" t="s">
        <v>537</v>
      </c>
      <c r="D150" s="210" t="s">
        <v>1723</v>
      </c>
      <c r="E150" s="204" t="s">
        <v>74</v>
      </c>
      <c r="F150" s="208"/>
      <c r="G150" s="206" t="s">
        <v>1495</v>
      </c>
      <c r="H150" s="207" t="s">
        <v>479</v>
      </c>
      <c r="I150" s="207" t="str">
        <f t="shared" si="20"/>
        <v>587-JS-D_587-JS-D</v>
      </c>
    </row>
    <row r="151" spans="1:10">
      <c r="A151" s="362" t="s">
        <v>1622</v>
      </c>
      <c r="B151" s="202" t="str">
        <f t="shared" si="21"/>
        <v>590-ELG-D</v>
      </c>
      <c r="C151" s="203" t="s">
        <v>537</v>
      </c>
      <c r="D151" s="210" t="s">
        <v>1724</v>
      </c>
      <c r="E151" s="204" t="s">
        <v>74</v>
      </c>
      <c r="F151" s="208"/>
      <c r="G151" s="206" t="s">
        <v>1495</v>
      </c>
      <c r="H151" s="207" t="s">
        <v>479</v>
      </c>
      <c r="I151" s="207" t="str">
        <f t="shared" si="20"/>
        <v>590-ELG-D_590-ELG-D</v>
      </c>
      <c r="J151" s="1">
        <v>2</v>
      </c>
    </row>
    <row r="152" spans="1:10">
      <c r="A152" s="188" t="s">
        <v>1426</v>
      </c>
      <c r="B152" s="202" t="str">
        <f t="shared" si="21"/>
        <v>591-ETNG-D</v>
      </c>
      <c r="C152" s="203" t="s">
        <v>537</v>
      </c>
      <c r="D152" s="210" t="s">
        <v>1449</v>
      </c>
      <c r="E152" s="204" t="s">
        <v>74</v>
      </c>
      <c r="F152" s="208"/>
      <c r="G152" s="206" t="s">
        <v>1495</v>
      </c>
      <c r="H152" s="207" t="s">
        <v>479</v>
      </c>
      <c r="I152" s="207" t="str">
        <f t="shared" si="20"/>
        <v>591-ETNG-D_591-ETNG-D</v>
      </c>
    </row>
    <row r="153" spans="1:10">
      <c r="A153" s="362" t="s">
        <v>1623</v>
      </c>
      <c r="B153" s="202" t="str">
        <f t="shared" si="21"/>
        <v>600-LHS-D</v>
      </c>
      <c r="C153" s="203" t="s">
        <v>537</v>
      </c>
      <c r="D153" s="210" t="s">
        <v>1725</v>
      </c>
      <c r="E153" s="204" t="s">
        <v>74</v>
      </c>
      <c r="F153" s="208"/>
      <c r="G153" s="206" t="s">
        <v>1495</v>
      </c>
      <c r="H153" s="207" t="s">
        <v>479</v>
      </c>
      <c r="I153" s="207" t="str">
        <f t="shared" si="20"/>
        <v>600-LHS-D_600-LHS-D</v>
      </c>
      <c r="J153" s="1">
        <v>2</v>
      </c>
    </row>
    <row r="154" spans="1:10">
      <c r="A154" s="362" t="s">
        <v>1624</v>
      </c>
      <c r="B154" s="202" t="str">
        <f t="shared" si="21"/>
        <v>610-EGP-D</v>
      </c>
      <c r="C154" s="203" t="s">
        <v>537</v>
      </c>
      <c r="D154" s="210" t="s">
        <v>1726</v>
      </c>
      <c r="E154" s="204" t="s">
        <v>74</v>
      </c>
      <c r="F154" s="208"/>
      <c r="G154" s="206" t="s">
        <v>1495</v>
      </c>
      <c r="H154" s="207" t="s">
        <v>479</v>
      </c>
      <c r="I154" s="207" t="str">
        <f t="shared" si="20"/>
        <v>610-EGP-D_610-EGP-D</v>
      </c>
      <c r="J154" s="1">
        <v>2</v>
      </c>
    </row>
    <row r="155" spans="1:10">
      <c r="A155" s="188" t="s">
        <v>1625</v>
      </c>
      <c r="B155" s="202" t="str">
        <f t="shared" si="21"/>
        <v>611-TGP-D</v>
      </c>
      <c r="C155" s="203" t="s">
        <v>537</v>
      </c>
      <c r="D155" s="210" t="s">
        <v>1727</v>
      </c>
      <c r="E155" s="204" t="s">
        <v>74</v>
      </c>
      <c r="F155" s="208"/>
      <c r="G155" s="206" t="s">
        <v>1495</v>
      </c>
      <c r="H155" s="207" t="s">
        <v>479</v>
      </c>
      <c r="I155" s="207" t="str">
        <f t="shared" si="20"/>
        <v>611-TGP-D_611-TGP-D</v>
      </c>
    </row>
    <row r="156" spans="1:10">
      <c r="A156" s="362" t="s">
        <v>1626</v>
      </c>
      <c r="B156" s="202" t="str">
        <f t="shared" si="21"/>
        <v>640-OUP-D</v>
      </c>
      <c r="C156" s="203" t="s">
        <v>537</v>
      </c>
      <c r="D156" s="210" t="s">
        <v>1728</v>
      </c>
      <c r="E156" s="204" t="s">
        <v>74</v>
      </c>
      <c r="F156" s="208"/>
      <c r="G156" s="206" t="s">
        <v>1495</v>
      </c>
      <c r="H156" s="207" t="s">
        <v>479</v>
      </c>
      <c r="I156" s="207" t="str">
        <f t="shared" si="20"/>
        <v>640-OUP-D_640-OUP-D</v>
      </c>
      <c r="J156" s="1">
        <v>2</v>
      </c>
    </row>
    <row r="157" spans="1:10">
      <c r="A157" s="362" t="s">
        <v>1627</v>
      </c>
      <c r="B157" s="202" t="str">
        <f t="shared" si="21"/>
        <v>650-OUR-D</v>
      </c>
      <c r="C157" s="203" t="s">
        <v>537</v>
      </c>
      <c r="D157" s="210" t="s">
        <v>1729</v>
      </c>
      <c r="E157" s="204" t="s">
        <v>74</v>
      </c>
      <c r="F157" s="208"/>
      <c r="G157" s="206" t="s">
        <v>1495</v>
      </c>
      <c r="H157" s="207" t="s">
        <v>479</v>
      </c>
      <c r="I157" s="207" t="str">
        <f t="shared" si="20"/>
        <v>650-OUR-D_650-OUR-D</v>
      </c>
      <c r="J157" s="1">
        <v>2</v>
      </c>
    </row>
    <row r="158" spans="1:10" hidden="1">
      <c r="A158" s="6" t="s">
        <v>1790</v>
      </c>
      <c r="B158" s="6" t="str">
        <f t="shared" si="21"/>
        <v>651-OUR-D</v>
      </c>
      <c r="C158" s="37" t="s">
        <v>537</v>
      </c>
      <c r="D158" s="356" t="s">
        <v>1845</v>
      </c>
      <c r="E158" s="292" t="s">
        <v>1805</v>
      </c>
      <c r="G158" s="206" t="s">
        <v>1495</v>
      </c>
      <c r="H158" s="207" t="s">
        <v>479</v>
      </c>
      <c r="I158" s="1" t="str">
        <f t="shared" si="20"/>
        <v>651-OUR-D_651-OUR-D</v>
      </c>
    </row>
    <row r="159" spans="1:10">
      <c r="A159" s="362" t="s">
        <v>1628</v>
      </c>
      <c r="B159" s="202" t="str">
        <f t="shared" si="21"/>
        <v>659-RIN-D</v>
      </c>
      <c r="C159" s="203" t="s">
        <v>537</v>
      </c>
      <c r="D159" s="210" t="s">
        <v>1730</v>
      </c>
      <c r="E159" s="204" t="s">
        <v>74</v>
      </c>
      <c r="F159" s="208"/>
      <c r="G159" s="206" t="s">
        <v>1495</v>
      </c>
      <c r="H159" s="207" t="s">
        <v>479</v>
      </c>
      <c r="I159" s="207" t="str">
        <f t="shared" si="20"/>
        <v>659-RIN-D_659-RIN-D</v>
      </c>
      <c r="J159" s="1">
        <v>2</v>
      </c>
    </row>
    <row r="160" spans="1:10">
      <c r="A160" s="362" t="s">
        <v>1629</v>
      </c>
      <c r="B160" s="202" t="str">
        <f t="shared" si="21"/>
        <v>660-VCT-D</v>
      </c>
      <c r="C160" s="203" t="s">
        <v>537</v>
      </c>
      <c r="D160" s="210" t="s">
        <v>1731</v>
      </c>
      <c r="E160" s="204" t="s">
        <v>74</v>
      </c>
      <c r="F160" s="208"/>
      <c r="G160" s="206" t="s">
        <v>1495</v>
      </c>
      <c r="H160" s="207" t="s">
        <v>479</v>
      </c>
      <c r="I160" s="207" t="str">
        <f t="shared" si="20"/>
        <v>660-VCT-D_660-VCT-D</v>
      </c>
      <c r="J160" s="1">
        <v>2</v>
      </c>
    </row>
    <row r="161" spans="1:10">
      <c r="A161" s="188" t="s">
        <v>1630</v>
      </c>
      <c r="B161" s="202" t="str">
        <f t="shared" si="21"/>
        <v>663-L/M-D</v>
      </c>
      <c r="C161" s="203" t="s">
        <v>537</v>
      </c>
      <c r="D161" s="210" t="s">
        <v>1732</v>
      </c>
      <c r="E161" s="204" t="s">
        <v>74</v>
      </c>
      <c r="F161" s="208"/>
      <c r="G161" s="206" t="s">
        <v>1495</v>
      </c>
      <c r="H161" s="207" t="s">
        <v>479</v>
      </c>
      <c r="I161" s="207" t="str">
        <f t="shared" si="20"/>
        <v>663-L/M-D_663-L/M-D</v>
      </c>
    </row>
    <row r="162" spans="1:10">
      <c r="A162" s="362" t="s">
        <v>1631</v>
      </c>
      <c r="B162" s="202" t="str">
        <f t="shared" si="21"/>
        <v>665-HLH-D</v>
      </c>
      <c r="C162" s="203" t="s">
        <v>537</v>
      </c>
      <c r="D162" s="210" t="s">
        <v>1733</v>
      </c>
      <c r="E162" s="204" t="s">
        <v>74</v>
      </c>
      <c r="F162" s="208"/>
      <c r="G162" s="206" t="s">
        <v>1495</v>
      </c>
      <c r="H162" s="207" t="s">
        <v>479</v>
      </c>
      <c r="I162" s="207" t="str">
        <f t="shared" si="20"/>
        <v>665-HLH-D_665-HLH-D</v>
      </c>
      <c r="J162" s="1">
        <v>2</v>
      </c>
    </row>
    <row r="163" spans="1:10" hidden="1">
      <c r="A163" s="188" t="s">
        <v>1632</v>
      </c>
      <c r="B163" s="202" t="str">
        <f t="shared" si="21"/>
        <v>666-HLH-D</v>
      </c>
      <c r="C163" s="203" t="s">
        <v>537</v>
      </c>
      <c r="D163" s="354" t="s">
        <v>1836</v>
      </c>
      <c r="E163" s="204" t="s">
        <v>1805</v>
      </c>
      <c r="F163" s="208"/>
      <c r="G163" s="206" t="s">
        <v>1495</v>
      </c>
      <c r="H163" s="207" t="s">
        <v>479</v>
      </c>
      <c r="I163" s="207" t="str">
        <f t="shared" si="20"/>
        <v>666-HLH-D_666-HLH-D</v>
      </c>
    </row>
    <row r="164" spans="1:10">
      <c r="A164" s="362" t="s">
        <v>1427</v>
      </c>
      <c r="B164" s="202" t="str">
        <f t="shared" si="21"/>
        <v>675-LVHC-D</v>
      </c>
      <c r="C164" s="203" t="s">
        <v>537</v>
      </c>
      <c r="D164" s="293" t="s">
        <v>2143</v>
      </c>
      <c r="E164" s="204" t="s">
        <v>74</v>
      </c>
      <c r="F164" s="208"/>
      <c r="G164" s="206" t="s">
        <v>1495</v>
      </c>
      <c r="H164" s="207" t="s">
        <v>479</v>
      </c>
      <c r="I164" s="207" t="str">
        <f t="shared" si="20"/>
        <v>675-LVHC-D_675-LVHC-D</v>
      </c>
      <c r="J164" s="1">
        <v>1</v>
      </c>
    </row>
    <row r="165" spans="1:10" hidden="1">
      <c r="A165" s="188" t="s">
        <v>1428</v>
      </c>
      <c r="B165" s="202" t="str">
        <f t="shared" si="21"/>
        <v>676-LVHC-D</v>
      </c>
      <c r="C165" s="203" t="s">
        <v>537</v>
      </c>
      <c r="D165" s="353" t="s">
        <v>1734</v>
      </c>
      <c r="E165" s="204" t="s">
        <v>1805</v>
      </c>
      <c r="F165" s="208"/>
      <c r="G165" s="206" t="s">
        <v>1495</v>
      </c>
      <c r="H165" s="207" t="s">
        <v>479</v>
      </c>
      <c r="I165" s="207" t="str">
        <f t="shared" ref="I165:I210" si="22">B165 &amp; "_" &amp; A165</f>
        <v>676-LVHC-D_676-LVHC-D</v>
      </c>
    </row>
    <row r="166" spans="1:10" hidden="1">
      <c r="A166" s="188" t="s">
        <v>1429</v>
      </c>
      <c r="B166" s="202" t="str">
        <f t="shared" si="21"/>
        <v>677-LVHC-D</v>
      </c>
      <c r="C166" s="203" t="s">
        <v>537</v>
      </c>
      <c r="D166" s="353" t="s">
        <v>1735</v>
      </c>
      <c r="E166" s="204" t="s">
        <v>1805</v>
      </c>
      <c r="F166" s="208"/>
      <c r="G166" s="206" t="s">
        <v>1495</v>
      </c>
      <c r="H166" s="207" t="s">
        <v>479</v>
      </c>
      <c r="I166" s="207" t="str">
        <f t="shared" si="22"/>
        <v>677-LVHC-D_677-LVHC-D</v>
      </c>
    </row>
    <row r="167" spans="1:10" hidden="1">
      <c r="A167" s="188" t="s">
        <v>1430</v>
      </c>
      <c r="B167" s="202" t="str">
        <f t="shared" si="21"/>
        <v>678-LVHC-D</v>
      </c>
      <c r="C167" s="203" t="s">
        <v>537</v>
      </c>
      <c r="D167" s="353" t="s">
        <v>1736</v>
      </c>
      <c r="E167" s="204" t="s">
        <v>1805</v>
      </c>
      <c r="F167" s="208"/>
      <c r="G167" s="206" t="s">
        <v>1495</v>
      </c>
      <c r="H167" s="207" t="s">
        <v>479</v>
      </c>
      <c r="I167" s="207" t="str">
        <f t="shared" si="22"/>
        <v>678-LVHC-D_678-LVHC-D</v>
      </c>
    </row>
    <row r="168" spans="1:10" hidden="1">
      <c r="A168" s="188" t="s">
        <v>1431</v>
      </c>
      <c r="B168" s="202" t="str">
        <f t="shared" si="21"/>
        <v>679-LVHC-D</v>
      </c>
      <c r="C168" s="203" t="s">
        <v>537</v>
      </c>
      <c r="D168" s="353" t="s">
        <v>1737</v>
      </c>
      <c r="E168" s="204" t="s">
        <v>1805</v>
      </c>
      <c r="F168" s="208"/>
      <c r="G168" s="206" t="s">
        <v>1495</v>
      </c>
      <c r="H168" s="207" t="s">
        <v>479</v>
      </c>
      <c r="I168" s="207" t="str">
        <f t="shared" si="22"/>
        <v>679-LVHC-D_679-LVHC-D</v>
      </c>
    </row>
    <row r="169" spans="1:10" hidden="1">
      <c r="A169" s="188" t="s">
        <v>1432</v>
      </c>
      <c r="B169" s="202" t="str">
        <f t="shared" ref="B169" si="23">A169</f>
        <v>685-LVHC-D</v>
      </c>
      <c r="C169" s="203" t="s">
        <v>537</v>
      </c>
      <c r="D169" s="353" t="s">
        <v>1739</v>
      </c>
      <c r="E169" s="204" t="s">
        <v>1805</v>
      </c>
      <c r="F169" s="208"/>
      <c r="G169" s="206" t="s">
        <v>1495</v>
      </c>
      <c r="H169" s="207" t="s">
        <v>479</v>
      </c>
      <c r="I169" s="207" t="str">
        <f t="shared" ref="I169" si="24">B169 &amp; "_" &amp; A169</f>
        <v>685-LVHC-D_685-LVHC-D</v>
      </c>
    </row>
    <row r="170" spans="1:10">
      <c r="A170" s="362" t="s">
        <v>1633</v>
      </c>
      <c r="B170" s="202" t="str">
        <f t="shared" si="21"/>
        <v>680-ET-D</v>
      </c>
      <c r="C170" s="203" t="s">
        <v>537</v>
      </c>
      <c r="D170" s="210" t="s">
        <v>1738</v>
      </c>
      <c r="E170" s="204" t="s">
        <v>74</v>
      </c>
      <c r="F170" s="208"/>
      <c r="G170" s="206" t="s">
        <v>1495</v>
      </c>
      <c r="H170" s="207" t="s">
        <v>479</v>
      </c>
      <c r="I170" s="207" t="str">
        <f t="shared" si="22"/>
        <v>680-ET-D_680-ET-D</v>
      </c>
      <c r="J170" s="1">
        <v>2</v>
      </c>
    </row>
    <row r="171" spans="1:10" hidden="1">
      <c r="A171" s="188" t="s">
        <v>1634</v>
      </c>
      <c r="B171" s="202" t="str">
        <f t="shared" si="21"/>
        <v>681-ET-D</v>
      </c>
      <c r="C171" s="203" t="s">
        <v>537</v>
      </c>
      <c r="D171" s="354" t="s">
        <v>1837</v>
      </c>
      <c r="E171" s="204" t="s">
        <v>1805</v>
      </c>
      <c r="F171" s="208"/>
      <c r="G171" s="206" t="s">
        <v>1495</v>
      </c>
      <c r="H171" s="207" t="s">
        <v>479</v>
      </c>
      <c r="I171" s="207" t="str">
        <f t="shared" si="22"/>
        <v>681-ET-D_681-ET-D</v>
      </c>
    </row>
    <row r="172" spans="1:10">
      <c r="A172" s="362" t="s">
        <v>1635</v>
      </c>
      <c r="B172" s="202" t="str">
        <f t="shared" si="21"/>
        <v>710-FIN-D</v>
      </c>
      <c r="C172" s="203" t="s">
        <v>537</v>
      </c>
      <c r="D172" s="210" t="s">
        <v>1740</v>
      </c>
      <c r="E172" s="204" t="s">
        <v>74</v>
      </c>
      <c r="F172" s="208"/>
      <c r="G172" s="206" t="s">
        <v>1495</v>
      </c>
      <c r="H172" s="207" t="s">
        <v>479</v>
      </c>
      <c r="I172" s="207" t="str">
        <f t="shared" si="22"/>
        <v>710-FIN-D_710-FIN-D</v>
      </c>
      <c r="J172" s="1">
        <v>2</v>
      </c>
    </row>
    <row r="173" spans="1:10" hidden="1">
      <c r="A173" s="188" t="s">
        <v>1636</v>
      </c>
      <c r="B173" s="202" t="str">
        <f t="shared" si="21"/>
        <v>711-FIN-D</v>
      </c>
      <c r="C173" s="203" t="s">
        <v>537</v>
      </c>
      <c r="D173" s="354" t="s">
        <v>1838</v>
      </c>
      <c r="E173" s="204" t="s">
        <v>1805</v>
      </c>
      <c r="F173" s="208"/>
      <c r="G173" s="206" t="s">
        <v>1495</v>
      </c>
      <c r="H173" s="207" t="s">
        <v>479</v>
      </c>
      <c r="I173" s="207" t="str">
        <f t="shared" si="22"/>
        <v>711-FIN-D_711-FIN-D</v>
      </c>
    </row>
    <row r="174" spans="1:10">
      <c r="A174" s="362" t="s">
        <v>1637</v>
      </c>
      <c r="B174" s="202" t="str">
        <f t="shared" si="21"/>
        <v>712-AI-D</v>
      </c>
      <c r="C174" s="203" t="s">
        <v>537</v>
      </c>
      <c r="D174" s="210" t="s">
        <v>1741</v>
      </c>
      <c r="E174" s="204" t="s">
        <v>74</v>
      </c>
      <c r="F174" s="208"/>
      <c r="G174" s="206" t="s">
        <v>1495</v>
      </c>
      <c r="H174" s="207" t="s">
        <v>479</v>
      </c>
      <c r="I174" s="207" t="str">
        <f t="shared" si="22"/>
        <v>712-AI-D_712-AI-D</v>
      </c>
      <c r="J174" s="1">
        <v>2</v>
      </c>
    </row>
    <row r="175" spans="1:10">
      <c r="A175" s="362" t="s">
        <v>1638</v>
      </c>
      <c r="B175" s="202" t="str">
        <f t="shared" si="21"/>
        <v>720-BAK-D</v>
      </c>
      <c r="C175" s="203" t="s">
        <v>537</v>
      </c>
      <c r="D175" s="210" t="s">
        <v>1742</v>
      </c>
      <c r="E175" s="204" t="s">
        <v>74</v>
      </c>
      <c r="F175" s="208"/>
      <c r="G175" s="206" t="s">
        <v>1495</v>
      </c>
      <c r="H175" s="207" t="s">
        <v>479</v>
      </c>
      <c r="I175" s="207" t="str">
        <f t="shared" si="22"/>
        <v>720-BAK-D_720-BAK-D</v>
      </c>
      <c r="J175" s="1">
        <v>2</v>
      </c>
    </row>
    <row r="176" spans="1:10" hidden="1">
      <c r="A176" s="188" t="s">
        <v>1433</v>
      </c>
      <c r="B176" s="202" t="str">
        <f t="shared" si="21"/>
        <v>721-BAK-D</v>
      </c>
      <c r="C176" s="203" t="s">
        <v>537</v>
      </c>
      <c r="D176" s="354" t="s">
        <v>1839</v>
      </c>
      <c r="E176" s="204" t="s">
        <v>1805</v>
      </c>
      <c r="F176" s="208"/>
      <c r="G176" s="206" t="s">
        <v>1495</v>
      </c>
      <c r="H176" s="207" t="s">
        <v>479</v>
      </c>
      <c r="I176" s="207" t="str">
        <f t="shared" si="22"/>
        <v>721-BAK-D_721-BAK-D</v>
      </c>
    </row>
    <row r="177" spans="1:10">
      <c r="A177" s="362" t="s">
        <v>1639</v>
      </c>
      <c r="B177" s="202" t="str">
        <f t="shared" si="21"/>
        <v>730-I/D-D</v>
      </c>
      <c r="C177" s="203" t="s">
        <v>537</v>
      </c>
      <c r="D177" s="210" t="s">
        <v>1743</v>
      </c>
      <c r="E177" s="204" t="s">
        <v>74</v>
      </c>
      <c r="F177" s="208"/>
      <c r="G177" s="206" t="s">
        <v>1495</v>
      </c>
      <c r="H177" s="207" t="s">
        <v>479</v>
      </c>
      <c r="I177" s="207" t="str">
        <f t="shared" si="22"/>
        <v>730-I/D-D_730-I/D-D</v>
      </c>
      <c r="J177" s="1">
        <v>1</v>
      </c>
    </row>
    <row r="178" spans="1:10">
      <c r="A178" s="362" t="s">
        <v>1640</v>
      </c>
      <c r="B178" s="202" t="str">
        <f t="shared" si="21"/>
        <v>780-FLX-D</v>
      </c>
      <c r="C178" s="203" t="s">
        <v>537</v>
      </c>
      <c r="D178" s="210" t="s">
        <v>1744</v>
      </c>
      <c r="E178" s="204" t="s">
        <v>74</v>
      </c>
      <c r="F178" s="208"/>
      <c r="G178" s="206" t="s">
        <v>1495</v>
      </c>
      <c r="H178" s="207" t="s">
        <v>479</v>
      </c>
      <c r="I178" s="207" t="str">
        <f t="shared" si="22"/>
        <v>780-FLX-D_780-FLX-D</v>
      </c>
      <c r="J178" s="1">
        <v>2</v>
      </c>
    </row>
    <row r="179" spans="1:10">
      <c r="A179" s="362" t="s">
        <v>1641</v>
      </c>
      <c r="B179" s="202" t="str">
        <f t="shared" si="21"/>
        <v>790-SSC-D</v>
      </c>
      <c r="C179" s="203" t="s">
        <v>537</v>
      </c>
      <c r="D179" s="210" t="s">
        <v>1745</v>
      </c>
      <c r="E179" s="204" t="s">
        <v>74</v>
      </c>
      <c r="F179" s="208"/>
      <c r="G179" s="206" t="s">
        <v>1495</v>
      </c>
      <c r="H179" s="207" t="s">
        <v>479</v>
      </c>
      <c r="I179" s="207" t="str">
        <f t="shared" si="22"/>
        <v>790-SSC-D_790-SSC-D</v>
      </c>
      <c r="J179" s="1">
        <v>1</v>
      </c>
    </row>
    <row r="180" spans="1:10">
      <c r="A180" s="188" t="s">
        <v>1434</v>
      </c>
      <c r="B180" s="202" t="str">
        <f t="shared" si="21"/>
        <v>791-SSSC-D</v>
      </c>
      <c r="C180" s="203" t="s">
        <v>537</v>
      </c>
      <c r="D180" s="210" t="s">
        <v>1746</v>
      </c>
      <c r="E180" s="204" t="s">
        <v>74</v>
      </c>
      <c r="F180" s="208"/>
      <c r="G180" s="206" t="s">
        <v>1495</v>
      </c>
      <c r="H180" s="207" t="s">
        <v>479</v>
      </c>
      <c r="I180" s="207" t="str">
        <f t="shared" si="22"/>
        <v>791-SSSC-D_791-SSSC-D</v>
      </c>
    </row>
    <row r="181" spans="1:10">
      <c r="A181" s="362" t="s">
        <v>1642</v>
      </c>
      <c r="B181" s="202" t="str">
        <f t="shared" si="21"/>
        <v>792-SSC-D</v>
      </c>
      <c r="C181" s="203" t="s">
        <v>537</v>
      </c>
      <c r="D181" s="210" t="s">
        <v>1747</v>
      </c>
      <c r="E181" s="204" t="s">
        <v>74</v>
      </c>
      <c r="F181" s="208"/>
      <c r="G181" s="206" t="s">
        <v>1495</v>
      </c>
      <c r="H181" s="207" t="s">
        <v>479</v>
      </c>
      <c r="I181" s="207" t="str">
        <f t="shared" si="22"/>
        <v>792-SSC-D_792-SSC-D</v>
      </c>
      <c r="J181" s="1">
        <v>2</v>
      </c>
    </row>
    <row r="182" spans="1:10">
      <c r="A182" s="362" t="s">
        <v>1643</v>
      </c>
      <c r="B182" s="202" t="str">
        <f t="shared" si="21"/>
        <v>800-DCU-D</v>
      </c>
      <c r="C182" s="203" t="s">
        <v>537</v>
      </c>
      <c r="D182" s="210" t="s">
        <v>1748</v>
      </c>
      <c r="E182" s="204" t="s">
        <v>74</v>
      </c>
      <c r="F182" s="208"/>
      <c r="G182" s="206" t="s">
        <v>1495</v>
      </c>
      <c r="H182" s="207" t="s">
        <v>479</v>
      </c>
      <c r="I182" s="207" t="str">
        <f t="shared" si="22"/>
        <v>800-DCU-D_800-DCU-D</v>
      </c>
      <c r="J182" s="1">
        <v>1</v>
      </c>
    </row>
    <row r="183" spans="1:10">
      <c r="A183" s="362" t="s">
        <v>1644</v>
      </c>
      <c r="B183" s="202" t="str">
        <f t="shared" si="21"/>
        <v>810-DEP-D</v>
      </c>
      <c r="C183" s="203" t="s">
        <v>537</v>
      </c>
      <c r="D183" s="210" t="s">
        <v>1749</v>
      </c>
      <c r="E183" s="204" t="s">
        <v>74</v>
      </c>
      <c r="F183" s="208"/>
      <c r="G183" s="206" t="s">
        <v>1495</v>
      </c>
      <c r="H183" s="207" t="s">
        <v>479</v>
      </c>
      <c r="I183" s="207" t="str">
        <f t="shared" si="22"/>
        <v>810-DEP-D_810-DEP-D</v>
      </c>
      <c r="J183" s="1">
        <v>1</v>
      </c>
    </row>
    <row r="184" spans="1:10">
      <c r="A184" s="188" t="s">
        <v>1435</v>
      </c>
      <c r="B184" s="202" t="str">
        <f t="shared" si="21"/>
        <v>811-SDEP-D</v>
      </c>
      <c r="C184" s="203" t="s">
        <v>537</v>
      </c>
      <c r="D184" s="210" t="s">
        <v>1750</v>
      </c>
      <c r="E184" s="204" t="s">
        <v>74</v>
      </c>
      <c r="F184" s="208"/>
      <c r="G184" s="206" t="s">
        <v>1495</v>
      </c>
      <c r="H184" s="207" t="s">
        <v>479</v>
      </c>
      <c r="I184" s="207" t="str">
        <f t="shared" si="22"/>
        <v>811-SDEP-D_811-SDEP-D</v>
      </c>
    </row>
    <row r="185" spans="1:10">
      <c r="A185" s="362" t="s">
        <v>1645</v>
      </c>
      <c r="B185" s="202" t="str">
        <f t="shared" si="21"/>
        <v>812-DEP-D</v>
      </c>
      <c r="C185" s="203" t="s">
        <v>537</v>
      </c>
      <c r="D185" s="210" t="s">
        <v>1751</v>
      </c>
      <c r="E185" s="204" t="s">
        <v>74</v>
      </c>
      <c r="F185" s="208"/>
      <c r="G185" s="206" t="s">
        <v>1495</v>
      </c>
      <c r="H185" s="207" t="s">
        <v>479</v>
      </c>
      <c r="I185" s="207" t="str">
        <f t="shared" si="22"/>
        <v>812-DEP-D_812-DEP-D</v>
      </c>
      <c r="J185" s="1">
        <v>2</v>
      </c>
    </row>
    <row r="186" spans="1:10">
      <c r="A186" s="188" t="s">
        <v>1436</v>
      </c>
      <c r="B186" s="202" t="str">
        <f t="shared" si="21"/>
        <v>M584-UVB-D</v>
      </c>
      <c r="C186" s="203" t="s">
        <v>537</v>
      </c>
      <c r="D186" s="210" t="s">
        <v>1752</v>
      </c>
      <c r="E186" s="204" t="s">
        <v>74</v>
      </c>
      <c r="F186" s="208"/>
      <c r="G186" s="206" t="s">
        <v>1495</v>
      </c>
      <c r="H186" s="207" t="s">
        <v>479</v>
      </c>
      <c r="I186" s="207" t="str">
        <f t="shared" si="22"/>
        <v>M584-UVB-D_M584-UVB-D</v>
      </c>
    </row>
    <row r="187" spans="1:10" s="301" customFormat="1" hidden="1">
      <c r="A187" s="295" t="s">
        <v>1773</v>
      </c>
      <c r="B187" s="296" t="str">
        <f t="shared" si="21"/>
        <v>M595-ELT-D</v>
      </c>
      <c r="C187" s="297" t="s">
        <v>537</v>
      </c>
      <c r="D187" s="296" t="s">
        <v>1450</v>
      </c>
      <c r="E187" s="298" t="s">
        <v>1805</v>
      </c>
      <c r="F187" s="299"/>
      <c r="G187" s="300" t="s">
        <v>1495</v>
      </c>
      <c r="H187" s="299" t="s">
        <v>479</v>
      </c>
      <c r="I187" s="299" t="str">
        <f t="shared" si="22"/>
        <v>M595-ELT-D_M595-ELT-D</v>
      </c>
    </row>
    <row r="188" spans="1:10">
      <c r="A188" s="188" t="s">
        <v>1437</v>
      </c>
      <c r="B188" s="202" t="str">
        <f t="shared" si="21"/>
        <v>M578-SSC-D</v>
      </c>
      <c r="C188" s="203" t="s">
        <v>537</v>
      </c>
      <c r="D188" s="210" t="s">
        <v>1753</v>
      </c>
      <c r="E188" s="204" t="s">
        <v>74</v>
      </c>
      <c r="F188" s="208"/>
      <c r="G188" s="206" t="s">
        <v>1495</v>
      </c>
      <c r="H188" s="207" t="s">
        <v>479</v>
      </c>
      <c r="I188" s="207" t="str">
        <f t="shared" si="22"/>
        <v>M578-SSC-D_M578-SSC-D</v>
      </c>
    </row>
    <row r="189" spans="1:10" s="301" customFormat="1" hidden="1">
      <c r="A189" s="295" t="s">
        <v>1438</v>
      </c>
      <c r="B189" s="296" t="str">
        <f t="shared" si="21"/>
        <v>M580-SMP-D</v>
      </c>
      <c r="C189" s="297" t="s">
        <v>537</v>
      </c>
      <c r="D189" s="296" t="s">
        <v>1451</v>
      </c>
      <c r="E189" s="298" t="s">
        <v>1805</v>
      </c>
      <c r="F189" s="299"/>
      <c r="G189" s="300" t="s">
        <v>1495</v>
      </c>
      <c r="H189" s="299" t="s">
        <v>479</v>
      </c>
      <c r="I189" s="299" t="str">
        <f t="shared" si="22"/>
        <v>M580-SMP-D_M580-SMP-D</v>
      </c>
    </row>
    <row r="190" spans="1:10">
      <c r="A190" s="6" t="s">
        <v>1775</v>
      </c>
      <c r="B190" s="6" t="str">
        <f t="shared" si="21"/>
        <v>313-SET-D</v>
      </c>
      <c r="C190" s="37" t="s">
        <v>537</v>
      </c>
      <c r="D190" s="358" t="s">
        <v>2144</v>
      </c>
      <c r="E190" s="292" t="s">
        <v>74</v>
      </c>
      <c r="G190" s="206" t="s">
        <v>1495</v>
      </c>
      <c r="H190" s="207" t="s">
        <v>479</v>
      </c>
      <c r="I190" s="1" t="str">
        <f t="shared" si="22"/>
        <v>313-SET-D_313-SET-D</v>
      </c>
    </row>
    <row r="191" spans="1:10" hidden="1">
      <c r="A191" s="6" t="s">
        <v>1776</v>
      </c>
      <c r="B191" s="6" t="str">
        <f t="shared" si="21"/>
        <v>314-SET-D</v>
      </c>
      <c r="C191" s="37" t="s">
        <v>537</v>
      </c>
      <c r="D191" s="356" t="s">
        <v>1840</v>
      </c>
      <c r="E191" s="292" t="s">
        <v>1805</v>
      </c>
      <c r="G191" s="206" t="s">
        <v>1495</v>
      </c>
      <c r="H191" s="207" t="s">
        <v>479</v>
      </c>
      <c r="I191" s="1" t="str">
        <f t="shared" si="22"/>
        <v>314-SET-D_314-SET-D</v>
      </c>
    </row>
    <row r="192" spans="1:10" hidden="1">
      <c r="A192" s="6" t="s">
        <v>1777</v>
      </c>
      <c r="B192" s="6" t="str">
        <f t="shared" si="21"/>
        <v>315-SET-D</v>
      </c>
      <c r="C192" s="37" t="s">
        <v>537</v>
      </c>
      <c r="D192" s="356" t="s">
        <v>1841</v>
      </c>
      <c r="E192" s="292" t="s">
        <v>1805</v>
      </c>
      <c r="G192" s="206" t="s">
        <v>1495</v>
      </c>
      <c r="H192" s="207" t="s">
        <v>479</v>
      </c>
      <c r="I192" s="1" t="str">
        <f t="shared" si="22"/>
        <v>315-SET-D_315-SET-D</v>
      </c>
    </row>
    <row r="193" spans="1:10">
      <c r="A193" s="6" t="s">
        <v>1778</v>
      </c>
      <c r="B193" s="6" t="str">
        <f t="shared" si="21"/>
        <v>664-L2B-D</v>
      </c>
      <c r="C193" s="37" t="s">
        <v>537</v>
      </c>
      <c r="D193" s="7" t="s">
        <v>1794</v>
      </c>
      <c r="E193" s="292" t="s">
        <v>74</v>
      </c>
      <c r="G193" s="206" t="s">
        <v>1495</v>
      </c>
      <c r="H193" s="207" t="s">
        <v>479</v>
      </c>
      <c r="I193" s="1" t="str">
        <f t="shared" si="22"/>
        <v>664-L2B-D_664-L2B-D</v>
      </c>
    </row>
    <row r="194" spans="1:10">
      <c r="A194" s="6" t="s">
        <v>1779</v>
      </c>
      <c r="B194" s="6" t="str">
        <f t="shared" si="21"/>
        <v>595-ELT-D</v>
      </c>
      <c r="C194" s="37" t="s">
        <v>537</v>
      </c>
      <c r="D194" s="7" t="s">
        <v>1795</v>
      </c>
      <c r="E194" s="292" t="s">
        <v>74</v>
      </c>
      <c r="G194" s="206" t="s">
        <v>1495</v>
      </c>
      <c r="H194" s="207" t="s">
        <v>479</v>
      </c>
      <c r="I194" s="1" t="str">
        <f t="shared" si="22"/>
        <v>595-ELT-D_595-ELT-D</v>
      </c>
    </row>
    <row r="195" spans="1:10">
      <c r="A195" s="6" t="s">
        <v>1780</v>
      </c>
      <c r="B195" s="6" t="str">
        <f t="shared" si="21"/>
        <v>613-DFRL-D</v>
      </c>
      <c r="C195" s="37" t="s">
        <v>537</v>
      </c>
      <c r="D195" s="7" t="s">
        <v>1796</v>
      </c>
      <c r="E195" s="292" t="s">
        <v>74</v>
      </c>
      <c r="G195" s="206" t="s">
        <v>1495</v>
      </c>
      <c r="H195" s="207" t="s">
        <v>479</v>
      </c>
      <c r="I195" s="1" t="str">
        <f t="shared" si="22"/>
        <v>613-DFRL-D_613-DFRL-D</v>
      </c>
    </row>
    <row r="196" spans="1:10" hidden="1">
      <c r="A196" s="6" t="s">
        <v>1787</v>
      </c>
      <c r="B196" s="6" t="str">
        <f t="shared" si="21"/>
        <v>614-DFRL-D</v>
      </c>
      <c r="C196" s="37" t="s">
        <v>537</v>
      </c>
      <c r="D196" s="356" t="s">
        <v>1844</v>
      </c>
      <c r="E196" s="292" t="s">
        <v>1805</v>
      </c>
      <c r="G196" s="206" t="s">
        <v>1495</v>
      </c>
      <c r="H196" s="207" t="s">
        <v>479</v>
      </c>
      <c r="I196" s="1" t="str">
        <f t="shared" ref="I196" si="25">B196 &amp; "_" &amp; A196</f>
        <v>614-DFRL-D_614-DFRL-D</v>
      </c>
    </row>
    <row r="197" spans="1:10">
      <c r="A197" s="6" t="s">
        <v>1781</v>
      </c>
      <c r="B197" s="6" t="str">
        <f t="shared" ref="B197:B209" si="26">A197</f>
        <v>612-SGP-D</v>
      </c>
      <c r="C197" s="37" t="s">
        <v>537</v>
      </c>
      <c r="D197" s="7" t="s">
        <v>1797</v>
      </c>
      <c r="E197" s="292" t="s">
        <v>74</v>
      </c>
      <c r="G197" s="206" t="s">
        <v>1495</v>
      </c>
      <c r="H197" s="207" t="s">
        <v>479</v>
      </c>
      <c r="I197" s="1" t="str">
        <f t="shared" si="22"/>
        <v>612-SGP-D_612-SGP-D</v>
      </c>
    </row>
    <row r="198" spans="1:10">
      <c r="A198" s="363" t="s">
        <v>1772</v>
      </c>
      <c r="B198" s="6" t="str">
        <f t="shared" si="26"/>
        <v>369-GRI-D</v>
      </c>
      <c r="C198" s="37" t="s">
        <v>537</v>
      </c>
      <c r="D198" s="358" t="s">
        <v>2145</v>
      </c>
      <c r="E198" s="292" t="s">
        <v>74</v>
      </c>
      <c r="G198" s="206" t="s">
        <v>1495</v>
      </c>
      <c r="H198" s="207" t="s">
        <v>479</v>
      </c>
      <c r="I198" s="1" t="str">
        <f t="shared" si="22"/>
        <v>369-GRI-D_369-GRI-D</v>
      </c>
      <c r="J198" s="1">
        <v>1</v>
      </c>
    </row>
    <row r="199" spans="1:10" hidden="1">
      <c r="A199" s="6" t="s">
        <v>1786</v>
      </c>
      <c r="B199" s="6" t="str">
        <f>A199</f>
        <v>368-GRI-D</v>
      </c>
      <c r="C199" s="37" t="s">
        <v>537</v>
      </c>
      <c r="D199" s="356" t="s">
        <v>1843</v>
      </c>
      <c r="E199" s="292" t="s">
        <v>1805</v>
      </c>
      <c r="G199" s="206" t="s">
        <v>1495</v>
      </c>
      <c r="H199" s="207" t="s">
        <v>479</v>
      </c>
      <c r="I199" s="1" t="str">
        <f t="shared" ref="I199" si="27">B199 &amp; "_" &amp; A199</f>
        <v>368-GRI-D_368-GRI-D</v>
      </c>
    </row>
    <row r="200" spans="1:10">
      <c r="A200" s="6" t="s">
        <v>1782</v>
      </c>
      <c r="B200" s="6" t="str">
        <f>A200</f>
        <v>636-ECT-D</v>
      </c>
      <c r="C200" s="37" t="s">
        <v>537</v>
      </c>
      <c r="D200" s="7" t="s">
        <v>1798</v>
      </c>
      <c r="E200" s="292" t="s">
        <v>74</v>
      </c>
      <c r="G200" s="206" t="s">
        <v>1495</v>
      </c>
      <c r="H200" s="207" t="s">
        <v>479</v>
      </c>
      <c r="I200" s="1" t="str">
        <f t="shared" si="22"/>
        <v>636-ECT-D_636-ECT-D</v>
      </c>
    </row>
    <row r="201" spans="1:10">
      <c r="A201" s="6" t="s">
        <v>1783</v>
      </c>
      <c r="B201" s="6" t="str">
        <f t="shared" si="26"/>
        <v>583-FSR-D</v>
      </c>
      <c r="C201" s="37" t="s">
        <v>537</v>
      </c>
      <c r="D201" s="7" t="s">
        <v>1799</v>
      </c>
      <c r="E201" s="292" t="s">
        <v>74</v>
      </c>
      <c r="G201" s="206" t="s">
        <v>1495</v>
      </c>
      <c r="H201" s="207" t="s">
        <v>479</v>
      </c>
      <c r="I201" s="1" t="str">
        <f t="shared" si="22"/>
        <v>583-FSR-D_583-FSR-D</v>
      </c>
    </row>
    <row r="202" spans="1:10">
      <c r="A202" s="6" t="s">
        <v>1785</v>
      </c>
      <c r="B202" s="6" t="str">
        <f t="shared" si="26"/>
        <v>664-CL2B-D</v>
      </c>
      <c r="C202" s="37" t="s">
        <v>537</v>
      </c>
      <c r="D202" s="303" t="s">
        <v>1800</v>
      </c>
      <c r="E202" s="292" t="s">
        <v>74</v>
      </c>
      <c r="G202" s="206" t="s">
        <v>1495</v>
      </c>
      <c r="H202" s="207" t="s">
        <v>479</v>
      </c>
      <c r="I202" s="1" t="str">
        <f t="shared" si="22"/>
        <v>664-CL2B-D_664-CL2B-D</v>
      </c>
    </row>
    <row r="203" spans="1:10">
      <c r="A203" s="6" t="s">
        <v>1788</v>
      </c>
      <c r="B203" s="6" t="str">
        <f t="shared" si="26"/>
        <v>614-SEGP-D</v>
      </c>
      <c r="C203" s="37" t="s">
        <v>537</v>
      </c>
      <c r="D203" s="303" t="s">
        <v>1791</v>
      </c>
      <c r="E203" s="292" t="s">
        <v>74</v>
      </c>
      <c r="G203" s="206" t="s">
        <v>1495</v>
      </c>
      <c r="H203" s="207" t="s">
        <v>479</v>
      </c>
      <c r="I203" s="1" t="str">
        <f t="shared" si="22"/>
        <v>614-SEGP-D_614-SEGP-D</v>
      </c>
    </row>
    <row r="204" spans="1:10">
      <c r="A204" s="6" t="s">
        <v>1789</v>
      </c>
      <c r="B204" s="6" t="str">
        <f t="shared" si="26"/>
        <v>527-HSPP-D</v>
      </c>
      <c r="C204" s="37" t="s">
        <v>537</v>
      </c>
      <c r="D204" s="303" t="s">
        <v>1801</v>
      </c>
      <c r="E204" s="292" t="s">
        <v>74</v>
      </c>
      <c r="G204" s="206" t="s">
        <v>1495</v>
      </c>
      <c r="H204" s="207" t="s">
        <v>479</v>
      </c>
      <c r="I204" s="1" t="str">
        <f t="shared" si="22"/>
        <v>527-HSPP-D_527-HSPP-D</v>
      </c>
    </row>
    <row r="205" spans="1:10">
      <c r="A205" s="363" t="s">
        <v>1803</v>
      </c>
      <c r="B205" s="6" t="str">
        <f t="shared" si="26"/>
        <v>023-BAK-D</v>
      </c>
      <c r="C205" s="37" t="s">
        <v>537</v>
      </c>
      <c r="D205" s="303" t="s">
        <v>1802</v>
      </c>
      <c r="E205" s="292" t="s">
        <v>74</v>
      </c>
      <c r="G205" s="206" t="s">
        <v>1495</v>
      </c>
      <c r="H205" s="207" t="s">
        <v>479</v>
      </c>
      <c r="I205" s="1" t="str">
        <f t="shared" si="22"/>
        <v>023-BAK-D_023-BAK-D</v>
      </c>
      <c r="J205" s="1">
        <v>1</v>
      </c>
    </row>
    <row r="206" spans="1:10">
      <c r="A206" s="6" t="s">
        <v>2149</v>
      </c>
      <c r="B206" s="6" t="str">
        <f t="shared" si="26"/>
        <v>813-UTR-D</v>
      </c>
      <c r="C206" s="37" t="s">
        <v>537</v>
      </c>
      <c r="D206" s="7" t="s">
        <v>2150</v>
      </c>
      <c r="E206" s="292" t="s">
        <v>74</v>
      </c>
      <c r="G206" s="206" t="s">
        <v>1495</v>
      </c>
      <c r="H206" s="207" t="s">
        <v>479</v>
      </c>
      <c r="I206" s="1" t="str">
        <f t="shared" si="22"/>
        <v>813-UTR-D_813-UTR-D</v>
      </c>
    </row>
    <row r="207" spans="1:10">
      <c r="A207" s="6" t="s">
        <v>2152</v>
      </c>
      <c r="B207" s="6" t="str">
        <f t="shared" si="26"/>
        <v>814-JOU-D</v>
      </c>
      <c r="C207" s="37" t="s">
        <v>537</v>
      </c>
      <c r="D207" s="7" t="s">
        <v>2151</v>
      </c>
      <c r="E207" s="292" t="s">
        <v>74</v>
      </c>
      <c r="G207" s="206" t="s">
        <v>1495</v>
      </c>
      <c r="H207" s="207" t="s">
        <v>479</v>
      </c>
      <c r="I207" s="1" t="str">
        <f t="shared" si="22"/>
        <v>814-JOU-D_814-JOU-D</v>
      </c>
    </row>
    <row r="208" spans="1:10">
      <c r="A208" s="6" t="s">
        <v>2154</v>
      </c>
      <c r="B208" s="6" t="str">
        <f t="shared" si="26"/>
        <v>027-FLA-D</v>
      </c>
      <c r="C208" s="37" t="s">
        <v>537</v>
      </c>
      <c r="D208" s="7" t="s">
        <v>2155</v>
      </c>
      <c r="E208" s="292" t="s">
        <v>74</v>
      </c>
      <c r="G208" s="206" t="s">
        <v>1495</v>
      </c>
      <c r="H208" s="207" t="s">
        <v>479</v>
      </c>
      <c r="I208" s="1" t="str">
        <f t="shared" si="22"/>
        <v>027-FLA-D_027-FLA-D</v>
      </c>
    </row>
    <row r="209" spans="1:9">
      <c r="A209" s="6" t="s">
        <v>2156</v>
      </c>
      <c r="B209" s="6" t="str">
        <f t="shared" si="26"/>
        <v>615-STP-D</v>
      </c>
      <c r="C209" s="37" t="s">
        <v>537</v>
      </c>
      <c r="D209" s="7" t="s">
        <v>2157</v>
      </c>
      <c r="E209" s="292" t="s">
        <v>74</v>
      </c>
      <c r="G209" s="206" t="s">
        <v>1495</v>
      </c>
      <c r="H209" s="207" t="s">
        <v>479</v>
      </c>
      <c r="I209" s="1" t="str">
        <f t="shared" si="22"/>
        <v>615-STP-D_615-STP-D</v>
      </c>
    </row>
    <row r="210" spans="1:9">
      <c r="A210" s="6" t="s">
        <v>2158</v>
      </c>
      <c r="B210" s="6" t="s">
        <v>2158</v>
      </c>
      <c r="C210" s="37" t="s">
        <v>537</v>
      </c>
      <c r="D210" s="7" t="s">
        <v>2159</v>
      </c>
      <c r="E210" s="292" t="s">
        <v>74</v>
      </c>
      <c r="G210" s="206" t="s">
        <v>1495</v>
      </c>
      <c r="H210" s="207" t="s">
        <v>479</v>
      </c>
      <c r="I210" s="1" t="str">
        <f t="shared" si="22"/>
        <v>668-IM-D_668-IM-D</v>
      </c>
    </row>
  </sheetData>
  <autoFilter ref="A1:J210">
    <filterColumn colId="4">
      <filters>
        <filter val="false"/>
      </filters>
    </filterColumn>
  </autoFilter>
  <sortState ref="A2:I32">
    <sortCondition ref="A2:A32"/>
  </sortState>
  <phoneticPr fontId="12" type="noConversion"/>
  <conditionalFormatting sqref="E2:E1000">
    <cfRule type="expression" dxfId="60" priority="1">
      <formula>$E2="true"</formula>
    </cfRule>
  </conditionalFormatting>
  <dataValidations count="1">
    <dataValidation type="list" allowBlank="1" showErrorMessage="1" sqref="E2:E65535">
      <formula1>"'false,'true"</formula1>
    </dataValidation>
  </dataValidations>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1:E487"/>
  <sheetViews>
    <sheetView workbookViewId="0">
      <selection activeCell="J34" sqref="J34"/>
    </sheetView>
  </sheetViews>
  <sheetFormatPr defaultRowHeight="13.5"/>
  <cols>
    <col min="1" max="1" width="76.28515625" style="9" bestFit="1" customWidth="1"/>
    <col min="2" max="2" width="6" style="6" bestFit="1" customWidth="1"/>
    <col min="3" max="3" width="9" style="16" bestFit="1" customWidth="1"/>
    <col min="4" max="4" width="17.42578125" style="6" bestFit="1" customWidth="1"/>
    <col min="5" max="5" width="10.140625" style="1" bestFit="1" customWidth="1"/>
    <col min="6" max="16384" width="9.140625" style="1"/>
  </cols>
  <sheetData>
    <row r="1" spans="1:4" ht="12.75">
      <c r="A1" s="14" t="s">
        <v>50</v>
      </c>
      <c r="B1" s="15" t="s">
        <v>77</v>
      </c>
      <c r="C1" s="15" t="s">
        <v>25</v>
      </c>
      <c r="D1" s="17" t="s">
        <v>75</v>
      </c>
    </row>
    <row r="2" spans="1:4">
      <c r="A2" s="9" t="s">
        <v>618</v>
      </c>
      <c r="B2" s="6" t="s">
        <v>1002</v>
      </c>
      <c r="C2" s="8" t="s">
        <v>74</v>
      </c>
      <c r="D2" s="6" t="s">
        <v>76</v>
      </c>
    </row>
    <row r="3" spans="1:4">
      <c r="A3" s="9" t="s">
        <v>619</v>
      </c>
      <c r="B3" s="6" t="s">
        <v>1003</v>
      </c>
      <c r="C3" s="8" t="s">
        <v>74</v>
      </c>
      <c r="D3" s="6" t="s">
        <v>76</v>
      </c>
    </row>
    <row r="4" spans="1:4">
      <c r="A4" s="9" t="s">
        <v>620</v>
      </c>
      <c r="B4" s="6" t="s">
        <v>1004</v>
      </c>
      <c r="C4" s="8" t="s">
        <v>74</v>
      </c>
      <c r="D4" s="6" t="s">
        <v>76</v>
      </c>
    </row>
    <row r="5" spans="1:4">
      <c r="A5" s="9" t="s">
        <v>621</v>
      </c>
      <c r="B5" s="6" t="s">
        <v>1005</v>
      </c>
      <c r="C5" s="8" t="s">
        <v>74</v>
      </c>
      <c r="D5" s="6" t="s">
        <v>76</v>
      </c>
    </row>
    <row r="6" spans="1:4">
      <c r="A6" s="9" t="s">
        <v>622</v>
      </c>
      <c r="B6" s="6" t="s">
        <v>1006</v>
      </c>
      <c r="C6" s="8" t="s">
        <v>74</v>
      </c>
      <c r="D6" s="6" t="s">
        <v>76</v>
      </c>
    </row>
    <row r="7" spans="1:4">
      <c r="A7" s="9" t="s">
        <v>623</v>
      </c>
      <c r="B7" s="6" t="s">
        <v>1007</v>
      </c>
      <c r="C7" s="8" t="s">
        <v>74</v>
      </c>
      <c r="D7" s="6" t="s">
        <v>76</v>
      </c>
    </row>
    <row r="8" spans="1:4">
      <c r="A8" s="9" t="s">
        <v>624</v>
      </c>
      <c r="B8" s="311" t="s">
        <v>1008</v>
      </c>
      <c r="C8" s="8" t="s">
        <v>74</v>
      </c>
      <c r="D8" s="6" t="s">
        <v>76</v>
      </c>
    </row>
    <row r="9" spans="1:4">
      <c r="A9" s="313" t="s">
        <v>1848</v>
      </c>
      <c r="B9" s="311" t="s">
        <v>1847</v>
      </c>
      <c r="C9" s="8" t="s">
        <v>74</v>
      </c>
      <c r="D9" s="6" t="s">
        <v>76</v>
      </c>
    </row>
    <row r="10" spans="1:4">
      <c r="A10" s="9" t="s">
        <v>625</v>
      </c>
      <c r="B10" s="6" t="s">
        <v>1009</v>
      </c>
      <c r="C10" s="8" t="s">
        <v>74</v>
      </c>
      <c r="D10" s="6" t="s">
        <v>76</v>
      </c>
    </row>
    <row r="11" spans="1:4">
      <c r="A11" s="9" t="s">
        <v>626</v>
      </c>
      <c r="B11" s="6" t="s">
        <v>1010</v>
      </c>
      <c r="C11" s="8" t="s">
        <v>74</v>
      </c>
      <c r="D11" s="6" t="s">
        <v>76</v>
      </c>
    </row>
    <row r="12" spans="1:4">
      <c r="A12" s="313" t="s">
        <v>1850</v>
      </c>
      <c r="B12" s="6" t="s">
        <v>1849</v>
      </c>
      <c r="C12" s="8" t="s">
        <v>74</v>
      </c>
      <c r="D12" s="6" t="s">
        <v>76</v>
      </c>
    </row>
    <row r="13" spans="1:4">
      <c r="A13" s="9" t="s">
        <v>627</v>
      </c>
      <c r="B13" s="6" t="s">
        <v>1011</v>
      </c>
      <c r="C13" s="8" t="s">
        <v>74</v>
      </c>
      <c r="D13" s="6" t="s">
        <v>76</v>
      </c>
    </row>
    <row r="14" spans="1:4">
      <c r="A14" s="9" t="s">
        <v>628</v>
      </c>
      <c r="B14" s="6" t="s">
        <v>1012</v>
      </c>
      <c r="C14" s="8" t="s">
        <v>74</v>
      </c>
      <c r="D14" s="6" t="s">
        <v>76</v>
      </c>
    </row>
    <row r="15" spans="1:4">
      <c r="A15" s="9" t="s">
        <v>629</v>
      </c>
      <c r="B15" s="6" t="s">
        <v>1013</v>
      </c>
      <c r="C15" s="8" t="s">
        <v>74</v>
      </c>
      <c r="D15" s="6" t="s">
        <v>76</v>
      </c>
    </row>
    <row r="16" spans="1:4">
      <c r="A16" s="9" t="s">
        <v>630</v>
      </c>
      <c r="B16" s="6" t="s">
        <v>1014</v>
      </c>
      <c r="C16" s="8" t="s">
        <v>74</v>
      </c>
      <c r="D16" s="6" t="s">
        <v>76</v>
      </c>
    </row>
    <row r="17" spans="1:4">
      <c r="A17" s="313" t="s">
        <v>1852</v>
      </c>
      <c r="B17" s="6" t="s">
        <v>1851</v>
      </c>
      <c r="C17" s="8" t="s">
        <v>74</v>
      </c>
      <c r="D17" s="6" t="s">
        <v>76</v>
      </c>
    </row>
    <row r="18" spans="1:4">
      <c r="A18" s="9" t="s">
        <v>631</v>
      </c>
      <c r="B18" s="6" t="s">
        <v>1015</v>
      </c>
      <c r="C18" s="8" t="s">
        <v>74</v>
      </c>
      <c r="D18" s="6" t="s">
        <v>76</v>
      </c>
    </row>
    <row r="19" spans="1:4">
      <c r="A19" s="313" t="s">
        <v>1854</v>
      </c>
      <c r="B19" s="6" t="s">
        <v>1853</v>
      </c>
      <c r="C19" s="8" t="s">
        <v>74</v>
      </c>
      <c r="D19" s="6" t="s">
        <v>76</v>
      </c>
    </row>
    <row r="20" spans="1:4">
      <c r="A20" s="9" t="s">
        <v>632</v>
      </c>
      <c r="B20" s="6" t="s">
        <v>1016</v>
      </c>
      <c r="C20" s="8" t="s">
        <v>74</v>
      </c>
      <c r="D20" s="6" t="s">
        <v>76</v>
      </c>
    </row>
    <row r="21" spans="1:4">
      <c r="A21" s="9" t="s">
        <v>633</v>
      </c>
      <c r="B21" s="6" t="s">
        <v>1017</v>
      </c>
      <c r="C21" s="8" t="s">
        <v>74</v>
      </c>
      <c r="D21" s="6" t="s">
        <v>76</v>
      </c>
    </row>
    <row r="22" spans="1:4">
      <c r="A22" s="9" t="s">
        <v>634</v>
      </c>
      <c r="B22" s="6" t="s">
        <v>1018</v>
      </c>
      <c r="C22" s="8" t="s">
        <v>74</v>
      </c>
      <c r="D22" s="6" t="s">
        <v>76</v>
      </c>
    </row>
    <row r="23" spans="1:4">
      <c r="A23" s="9" t="s">
        <v>635</v>
      </c>
      <c r="B23" s="6" t="s">
        <v>1019</v>
      </c>
      <c r="C23" s="8" t="s">
        <v>74</v>
      </c>
      <c r="D23" s="6" t="s">
        <v>76</v>
      </c>
    </row>
    <row r="24" spans="1:4">
      <c r="A24" s="9" t="s">
        <v>636</v>
      </c>
      <c r="B24" s="6" t="s">
        <v>1020</v>
      </c>
      <c r="C24" s="8" t="s">
        <v>74</v>
      </c>
      <c r="D24" s="6" t="s">
        <v>76</v>
      </c>
    </row>
    <row r="25" spans="1:4">
      <c r="A25" s="9" t="s">
        <v>637</v>
      </c>
      <c r="B25" s="6" t="s">
        <v>1021</v>
      </c>
      <c r="C25" s="8" t="s">
        <v>74</v>
      </c>
      <c r="D25" s="6" t="s">
        <v>76</v>
      </c>
    </row>
    <row r="26" spans="1:4">
      <c r="A26" s="9" t="s">
        <v>638</v>
      </c>
      <c r="B26" s="6" t="s">
        <v>1022</v>
      </c>
      <c r="C26" s="8" t="s">
        <v>74</v>
      </c>
      <c r="D26" s="6" t="s">
        <v>76</v>
      </c>
    </row>
    <row r="27" spans="1:4">
      <c r="A27" s="9" t="s">
        <v>639</v>
      </c>
      <c r="B27" s="6" t="s">
        <v>1023</v>
      </c>
      <c r="C27" s="8" t="s">
        <v>74</v>
      </c>
      <c r="D27" s="6" t="s">
        <v>76</v>
      </c>
    </row>
    <row r="28" spans="1:4">
      <c r="A28" s="9" t="s">
        <v>640</v>
      </c>
      <c r="B28" s="6" t="s">
        <v>1024</v>
      </c>
      <c r="C28" s="8" t="s">
        <v>74</v>
      </c>
      <c r="D28" s="6" t="s">
        <v>76</v>
      </c>
    </row>
    <row r="29" spans="1:4">
      <c r="A29" s="9" t="s">
        <v>641</v>
      </c>
      <c r="B29" s="6" t="s">
        <v>1025</v>
      </c>
      <c r="C29" s="8" t="s">
        <v>74</v>
      </c>
      <c r="D29" s="6" t="s">
        <v>76</v>
      </c>
    </row>
    <row r="30" spans="1:4">
      <c r="A30" s="313" t="s">
        <v>1856</v>
      </c>
      <c r="B30" s="6" t="s">
        <v>1855</v>
      </c>
      <c r="C30" s="8" t="s">
        <v>74</v>
      </c>
      <c r="D30" s="6" t="s">
        <v>76</v>
      </c>
    </row>
    <row r="31" spans="1:4">
      <c r="A31" s="9" t="s">
        <v>642</v>
      </c>
      <c r="B31" s="6" t="s">
        <v>1026</v>
      </c>
      <c r="C31" s="8" t="s">
        <v>74</v>
      </c>
      <c r="D31" s="6" t="s">
        <v>76</v>
      </c>
    </row>
    <row r="32" spans="1:4">
      <c r="A32" s="9" t="s">
        <v>643</v>
      </c>
      <c r="B32" s="6" t="s">
        <v>1027</v>
      </c>
      <c r="C32" s="8" t="s">
        <v>74</v>
      </c>
      <c r="D32" s="6" t="s">
        <v>76</v>
      </c>
    </row>
    <row r="33" spans="1:4">
      <c r="A33" s="9" t="s">
        <v>644</v>
      </c>
      <c r="B33" s="6" t="s">
        <v>1028</v>
      </c>
      <c r="C33" s="8" t="s">
        <v>74</v>
      </c>
      <c r="D33" s="6" t="s">
        <v>76</v>
      </c>
    </row>
    <row r="34" spans="1:4">
      <c r="A34" s="9" t="s">
        <v>1401</v>
      </c>
      <c r="B34" s="6" t="s">
        <v>1029</v>
      </c>
      <c r="C34" s="8" t="s">
        <v>74</v>
      </c>
      <c r="D34" s="6" t="s">
        <v>76</v>
      </c>
    </row>
    <row r="35" spans="1:4">
      <c r="A35" s="9" t="s">
        <v>645</v>
      </c>
      <c r="B35" s="6" t="s">
        <v>1030</v>
      </c>
      <c r="C35" s="8" t="s">
        <v>74</v>
      </c>
      <c r="D35" s="6" t="s">
        <v>76</v>
      </c>
    </row>
    <row r="36" spans="1:4">
      <c r="A36" s="9" t="s">
        <v>646</v>
      </c>
      <c r="B36" s="6" t="s">
        <v>1031</v>
      </c>
      <c r="C36" s="8" t="s">
        <v>74</v>
      </c>
      <c r="D36" s="6" t="s">
        <v>76</v>
      </c>
    </row>
    <row r="37" spans="1:4">
      <c r="A37" s="9" t="s">
        <v>647</v>
      </c>
      <c r="B37" s="6" t="s">
        <v>1032</v>
      </c>
      <c r="C37" s="8" t="s">
        <v>74</v>
      </c>
      <c r="D37" s="6" t="s">
        <v>76</v>
      </c>
    </row>
    <row r="38" spans="1:4">
      <c r="A38" s="313" t="s">
        <v>1858</v>
      </c>
      <c r="B38" s="6" t="s">
        <v>1857</v>
      </c>
      <c r="C38" s="8" t="s">
        <v>74</v>
      </c>
      <c r="D38" s="6" t="s">
        <v>76</v>
      </c>
    </row>
    <row r="39" spans="1:4">
      <c r="A39" s="9" t="s">
        <v>648</v>
      </c>
      <c r="B39" s="6" t="s">
        <v>1033</v>
      </c>
      <c r="C39" s="8" t="s">
        <v>74</v>
      </c>
      <c r="D39" s="6" t="s">
        <v>76</v>
      </c>
    </row>
    <row r="40" spans="1:4">
      <c r="A40" s="9" t="s">
        <v>649</v>
      </c>
      <c r="B40" s="6" t="s">
        <v>1034</v>
      </c>
      <c r="C40" s="8" t="s">
        <v>74</v>
      </c>
      <c r="D40" s="6" t="s">
        <v>76</v>
      </c>
    </row>
    <row r="41" spans="1:4">
      <c r="A41" s="9" t="s">
        <v>650</v>
      </c>
      <c r="B41" s="6" t="s">
        <v>1035</v>
      </c>
      <c r="C41" s="8" t="s">
        <v>74</v>
      </c>
      <c r="D41" s="6" t="s">
        <v>76</v>
      </c>
    </row>
    <row r="42" spans="1:4">
      <c r="A42" s="313" t="s">
        <v>1860</v>
      </c>
      <c r="B42" s="6" t="s">
        <v>1859</v>
      </c>
      <c r="C42" s="8" t="s">
        <v>74</v>
      </c>
      <c r="D42" s="6" t="s">
        <v>76</v>
      </c>
    </row>
    <row r="43" spans="1:4">
      <c r="A43" s="9" t="s">
        <v>651</v>
      </c>
      <c r="B43" s="6" t="s">
        <v>1036</v>
      </c>
      <c r="C43" s="8" t="s">
        <v>74</v>
      </c>
      <c r="D43" s="6" t="s">
        <v>76</v>
      </c>
    </row>
    <row r="44" spans="1:4">
      <c r="A44" s="9" t="s">
        <v>652</v>
      </c>
      <c r="B44" s="6" t="s">
        <v>1037</v>
      </c>
      <c r="C44" s="8" t="s">
        <v>74</v>
      </c>
      <c r="D44" s="6" t="s">
        <v>76</v>
      </c>
    </row>
    <row r="45" spans="1:4">
      <c r="A45" s="313" t="s">
        <v>1862</v>
      </c>
      <c r="B45" s="6" t="s">
        <v>1861</v>
      </c>
      <c r="C45" s="8" t="s">
        <v>74</v>
      </c>
      <c r="D45" s="6" t="s">
        <v>76</v>
      </c>
    </row>
    <row r="46" spans="1:4">
      <c r="A46" s="9" t="s">
        <v>653</v>
      </c>
      <c r="B46" s="6" t="s">
        <v>1038</v>
      </c>
      <c r="C46" s="8" t="s">
        <v>74</v>
      </c>
      <c r="D46" s="6" t="s">
        <v>76</v>
      </c>
    </row>
    <row r="47" spans="1:4">
      <c r="A47" s="9" t="s">
        <v>654</v>
      </c>
      <c r="B47" s="6" t="s">
        <v>1039</v>
      </c>
      <c r="C47" s="8" t="s">
        <v>74</v>
      </c>
      <c r="D47" s="6" t="s">
        <v>76</v>
      </c>
    </row>
    <row r="48" spans="1:4">
      <c r="A48" s="9" t="s">
        <v>655</v>
      </c>
      <c r="B48" s="6" t="s">
        <v>1040</v>
      </c>
      <c r="C48" s="8" t="s">
        <v>74</v>
      </c>
      <c r="D48" s="6" t="s">
        <v>76</v>
      </c>
    </row>
    <row r="49" spans="1:4">
      <c r="A49" s="9" t="s">
        <v>656</v>
      </c>
      <c r="B49" s="6" t="s">
        <v>1041</v>
      </c>
      <c r="C49" s="8" t="s">
        <v>74</v>
      </c>
      <c r="D49" s="6" t="s">
        <v>76</v>
      </c>
    </row>
    <row r="50" spans="1:4">
      <c r="A50" s="9" t="s">
        <v>657</v>
      </c>
      <c r="B50" s="6" t="s">
        <v>1042</v>
      </c>
      <c r="C50" s="8" t="s">
        <v>74</v>
      </c>
      <c r="D50" s="6" t="s">
        <v>76</v>
      </c>
    </row>
    <row r="51" spans="1:4">
      <c r="A51" s="9" t="s">
        <v>658</v>
      </c>
      <c r="B51" s="6" t="s">
        <v>1043</v>
      </c>
      <c r="C51" s="8" t="s">
        <v>74</v>
      </c>
      <c r="D51" s="6" t="s">
        <v>76</v>
      </c>
    </row>
    <row r="52" spans="1:4">
      <c r="A52" s="9" t="s">
        <v>659</v>
      </c>
      <c r="B52" s="6" t="s">
        <v>1044</v>
      </c>
      <c r="C52" s="8" t="s">
        <v>74</v>
      </c>
      <c r="D52" s="6" t="s">
        <v>76</v>
      </c>
    </row>
    <row r="53" spans="1:4">
      <c r="A53" s="9" t="s">
        <v>660</v>
      </c>
      <c r="B53" s="6" t="s">
        <v>1045</v>
      </c>
      <c r="C53" s="8" t="s">
        <v>74</v>
      </c>
      <c r="D53" s="6" t="s">
        <v>76</v>
      </c>
    </row>
    <row r="54" spans="1:4">
      <c r="A54" s="9" t="s">
        <v>1402</v>
      </c>
      <c r="B54" s="6" t="s">
        <v>1046</v>
      </c>
      <c r="C54" s="8" t="s">
        <v>74</v>
      </c>
      <c r="D54" s="6" t="s">
        <v>76</v>
      </c>
    </row>
    <row r="55" spans="1:4">
      <c r="A55" s="9" t="s">
        <v>661</v>
      </c>
      <c r="B55" s="6" t="s">
        <v>1047</v>
      </c>
      <c r="C55" s="8" t="s">
        <v>74</v>
      </c>
      <c r="D55" s="6" t="s">
        <v>76</v>
      </c>
    </row>
    <row r="56" spans="1:4">
      <c r="A56" s="9" t="s">
        <v>662</v>
      </c>
      <c r="B56" s="6" t="s">
        <v>1048</v>
      </c>
      <c r="C56" s="8" t="s">
        <v>74</v>
      </c>
      <c r="D56" s="6" t="s">
        <v>76</v>
      </c>
    </row>
    <row r="57" spans="1:4">
      <c r="A57" s="9" t="s">
        <v>663</v>
      </c>
      <c r="B57" s="6" t="s">
        <v>1049</v>
      </c>
      <c r="C57" s="8" t="s">
        <v>74</v>
      </c>
      <c r="D57" s="6" t="s">
        <v>76</v>
      </c>
    </row>
    <row r="58" spans="1:4">
      <c r="A58" s="9" t="s">
        <v>664</v>
      </c>
      <c r="B58" s="6" t="s">
        <v>1050</v>
      </c>
      <c r="C58" s="8" t="s">
        <v>74</v>
      </c>
      <c r="D58" s="6" t="s">
        <v>76</v>
      </c>
    </row>
    <row r="59" spans="1:4">
      <c r="A59" s="9" t="s">
        <v>665</v>
      </c>
      <c r="B59" s="6" t="s">
        <v>1051</v>
      </c>
      <c r="C59" s="8" t="s">
        <v>74</v>
      </c>
      <c r="D59" s="6" t="s">
        <v>76</v>
      </c>
    </row>
    <row r="60" spans="1:4">
      <c r="A60" s="9" t="s">
        <v>666</v>
      </c>
      <c r="B60" s="6" t="s">
        <v>1052</v>
      </c>
      <c r="C60" s="8" t="s">
        <v>74</v>
      </c>
      <c r="D60" s="6" t="s">
        <v>76</v>
      </c>
    </row>
    <row r="61" spans="1:4">
      <c r="A61" s="9" t="s">
        <v>667</v>
      </c>
      <c r="B61" s="6" t="s">
        <v>1053</v>
      </c>
      <c r="C61" s="8" t="s">
        <v>74</v>
      </c>
      <c r="D61" s="6" t="s">
        <v>76</v>
      </c>
    </row>
    <row r="62" spans="1:4">
      <c r="A62" s="9" t="s">
        <v>668</v>
      </c>
      <c r="B62" s="6" t="s">
        <v>1054</v>
      </c>
      <c r="C62" s="8" t="s">
        <v>74</v>
      </c>
      <c r="D62" s="6" t="s">
        <v>76</v>
      </c>
    </row>
    <row r="63" spans="1:4">
      <c r="A63" s="314" t="s">
        <v>669</v>
      </c>
      <c r="B63" s="301" t="s">
        <v>1055</v>
      </c>
      <c r="C63" s="8" t="s">
        <v>74</v>
      </c>
      <c r="D63" s="6" t="s">
        <v>76</v>
      </c>
    </row>
    <row r="64" spans="1:4">
      <c r="A64" s="9" t="s">
        <v>670</v>
      </c>
      <c r="B64" s="6" t="s">
        <v>1056</v>
      </c>
      <c r="C64" s="8" t="s">
        <v>74</v>
      </c>
      <c r="D64" s="6" t="s">
        <v>76</v>
      </c>
    </row>
    <row r="65" spans="1:4">
      <c r="A65" s="9" t="s">
        <v>671</v>
      </c>
      <c r="B65" s="6" t="s">
        <v>1057</v>
      </c>
      <c r="C65" s="8" t="s">
        <v>74</v>
      </c>
      <c r="D65" s="6" t="s">
        <v>76</v>
      </c>
    </row>
    <row r="66" spans="1:4">
      <c r="A66" s="9" t="s">
        <v>672</v>
      </c>
      <c r="B66" s="6" t="s">
        <v>1058</v>
      </c>
      <c r="C66" s="8" t="s">
        <v>74</v>
      </c>
      <c r="D66" s="6" t="s">
        <v>76</v>
      </c>
    </row>
    <row r="67" spans="1:4">
      <c r="A67" s="9" t="s">
        <v>673</v>
      </c>
      <c r="B67" s="6" t="s">
        <v>1059</v>
      </c>
      <c r="C67" s="8" t="s">
        <v>74</v>
      </c>
      <c r="D67" s="6" t="s">
        <v>76</v>
      </c>
    </row>
    <row r="68" spans="1:4">
      <c r="A68" s="9" t="s">
        <v>674</v>
      </c>
      <c r="B68" s="6" t="s">
        <v>1060</v>
      </c>
      <c r="C68" s="8" t="s">
        <v>74</v>
      </c>
      <c r="D68" s="6" t="s">
        <v>76</v>
      </c>
    </row>
    <row r="69" spans="1:4">
      <c r="A69" s="9" t="s">
        <v>675</v>
      </c>
      <c r="B69" s="6" t="s">
        <v>1061</v>
      </c>
      <c r="C69" s="8" t="s">
        <v>74</v>
      </c>
      <c r="D69" s="6" t="s">
        <v>76</v>
      </c>
    </row>
    <row r="70" spans="1:4">
      <c r="A70" s="9" t="s">
        <v>676</v>
      </c>
      <c r="B70" s="6" t="s">
        <v>1062</v>
      </c>
      <c r="C70" s="8" t="s">
        <v>74</v>
      </c>
      <c r="D70" s="6" t="s">
        <v>76</v>
      </c>
    </row>
    <row r="71" spans="1:4">
      <c r="A71" s="313" t="s">
        <v>1864</v>
      </c>
      <c r="B71" s="6" t="s">
        <v>1863</v>
      </c>
      <c r="C71" s="8" t="s">
        <v>74</v>
      </c>
      <c r="D71" s="6" t="s">
        <v>76</v>
      </c>
    </row>
    <row r="72" spans="1:4">
      <c r="A72" s="9" t="s">
        <v>677</v>
      </c>
      <c r="B72" s="6" t="s">
        <v>1063</v>
      </c>
      <c r="C72" s="8" t="s">
        <v>74</v>
      </c>
      <c r="D72" s="6" t="s">
        <v>76</v>
      </c>
    </row>
    <row r="73" spans="1:4">
      <c r="A73" s="9" t="s">
        <v>2026</v>
      </c>
      <c r="B73" s="6" t="s">
        <v>1064</v>
      </c>
      <c r="C73" s="8" t="s">
        <v>74</v>
      </c>
      <c r="D73" s="6" t="s">
        <v>76</v>
      </c>
    </row>
    <row r="74" spans="1:4">
      <c r="A74" s="9" t="s">
        <v>678</v>
      </c>
      <c r="B74" s="6" t="s">
        <v>1065</v>
      </c>
      <c r="C74" s="8" t="s">
        <v>74</v>
      </c>
      <c r="D74" s="6" t="s">
        <v>76</v>
      </c>
    </row>
    <row r="75" spans="1:4">
      <c r="A75" s="9" t="s">
        <v>679</v>
      </c>
      <c r="B75" s="6" t="s">
        <v>1066</v>
      </c>
      <c r="C75" s="8" t="s">
        <v>74</v>
      </c>
      <c r="D75" s="6" t="s">
        <v>76</v>
      </c>
    </row>
    <row r="76" spans="1:4">
      <c r="A76" s="9" t="s">
        <v>680</v>
      </c>
      <c r="B76" s="6" t="s">
        <v>1067</v>
      </c>
      <c r="C76" s="8" t="s">
        <v>74</v>
      </c>
      <c r="D76" s="6" t="s">
        <v>76</v>
      </c>
    </row>
    <row r="77" spans="1:4">
      <c r="A77" s="313" t="s">
        <v>1866</v>
      </c>
      <c r="B77" s="6" t="s">
        <v>1865</v>
      </c>
      <c r="C77" s="8" t="s">
        <v>74</v>
      </c>
      <c r="D77" s="6" t="s">
        <v>76</v>
      </c>
    </row>
    <row r="78" spans="1:4">
      <c r="A78" s="9" t="s">
        <v>681</v>
      </c>
      <c r="B78" s="6" t="s">
        <v>1068</v>
      </c>
      <c r="C78" s="8" t="s">
        <v>74</v>
      </c>
      <c r="D78" s="6" t="s">
        <v>76</v>
      </c>
    </row>
    <row r="79" spans="1:4">
      <c r="A79" s="9" t="s">
        <v>682</v>
      </c>
      <c r="B79" s="6" t="s">
        <v>1069</v>
      </c>
      <c r="C79" s="8" t="s">
        <v>74</v>
      </c>
      <c r="D79" s="6" t="s">
        <v>76</v>
      </c>
    </row>
    <row r="80" spans="1:4">
      <c r="A80" s="9" t="s">
        <v>683</v>
      </c>
      <c r="B80" s="6" t="s">
        <v>1070</v>
      </c>
      <c r="C80" s="8" t="s">
        <v>74</v>
      </c>
      <c r="D80" s="6" t="s">
        <v>76</v>
      </c>
    </row>
    <row r="81" spans="1:4">
      <c r="A81" s="9" t="s">
        <v>684</v>
      </c>
      <c r="B81" s="6" t="s">
        <v>1071</v>
      </c>
      <c r="C81" s="8" t="s">
        <v>74</v>
      </c>
      <c r="D81" s="6" t="s">
        <v>76</v>
      </c>
    </row>
    <row r="82" spans="1:4">
      <c r="A82" s="9" t="s">
        <v>685</v>
      </c>
      <c r="B82" s="6" t="s">
        <v>1072</v>
      </c>
      <c r="C82" s="8" t="s">
        <v>74</v>
      </c>
      <c r="D82" s="6" t="s">
        <v>76</v>
      </c>
    </row>
    <row r="83" spans="1:4">
      <c r="A83" s="9" t="s">
        <v>686</v>
      </c>
      <c r="B83" s="6" t="s">
        <v>1073</v>
      </c>
      <c r="C83" s="8" t="s">
        <v>74</v>
      </c>
      <c r="D83" s="6" t="s">
        <v>76</v>
      </c>
    </row>
    <row r="84" spans="1:4">
      <c r="A84" s="9" t="s">
        <v>687</v>
      </c>
      <c r="B84" s="6" t="s">
        <v>1074</v>
      </c>
      <c r="C84" s="8" t="s">
        <v>74</v>
      </c>
      <c r="D84" s="6" t="s">
        <v>76</v>
      </c>
    </row>
    <row r="85" spans="1:4">
      <c r="A85" s="9" t="s">
        <v>688</v>
      </c>
      <c r="B85" s="6" t="s">
        <v>1075</v>
      </c>
      <c r="C85" s="8" t="s">
        <v>74</v>
      </c>
      <c r="D85" s="6" t="s">
        <v>76</v>
      </c>
    </row>
    <row r="86" spans="1:4">
      <c r="A86" s="9" t="s">
        <v>689</v>
      </c>
      <c r="B86" s="6" t="s">
        <v>1076</v>
      </c>
      <c r="C86" s="8" t="s">
        <v>74</v>
      </c>
      <c r="D86" s="6" t="s">
        <v>76</v>
      </c>
    </row>
    <row r="87" spans="1:4">
      <c r="A87" s="9" t="s">
        <v>690</v>
      </c>
      <c r="B87" s="6" t="s">
        <v>1077</v>
      </c>
      <c r="C87" s="8" t="s">
        <v>74</v>
      </c>
      <c r="D87" s="6" t="s">
        <v>76</v>
      </c>
    </row>
    <row r="88" spans="1:4">
      <c r="A88" s="9" t="s">
        <v>691</v>
      </c>
      <c r="B88" s="6" t="s">
        <v>1078</v>
      </c>
      <c r="C88" s="8" t="s">
        <v>74</v>
      </c>
      <c r="D88" s="6" t="s">
        <v>76</v>
      </c>
    </row>
    <row r="89" spans="1:4">
      <c r="A89" s="9" t="s">
        <v>692</v>
      </c>
      <c r="B89" s="6" t="s">
        <v>1079</v>
      </c>
      <c r="C89" s="8" t="s">
        <v>74</v>
      </c>
      <c r="D89" s="6" t="s">
        <v>76</v>
      </c>
    </row>
    <row r="90" spans="1:4">
      <c r="A90" s="9" t="s">
        <v>693</v>
      </c>
      <c r="B90" s="6" t="s">
        <v>1080</v>
      </c>
      <c r="C90" s="8" t="s">
        <v>74</v>
      </c>
      <c r="D90" s="6" t="s">
        <v>76</v>
      </c>
    </row>
    <row r="91" spans="1:4">
      <c r="A91" s="9" t="s">
        <v>1403</v>
      </c>
      <c r="B91" s="6" t="s">
        <v>1081</v>
      </c>
      <c r="C91" s="8" t="s">
        <v>74</v>
      </c>
      <c r="D91" s="6" t="s">
        <v>76</v>
      </c>
    </row>
    <row r="92" spans="1:4">
      <c r="A92" s="9" t="s">
        <v>695</v>
      </c>
      <c r="B92" s="6" t="s">
        <v>1082</v>
      </c>
      <c r="C92" s="8" t="s">
        <v>74</v>
      </c>
      <c r="D92" s="6" t="s">
        <v>76</v>
      </c>
    </row>
    <row r="93" spans="1:4">
      <c r="A93" s="9" t="s">
        <v>696</v>
      </c>
      <c r="B93" s="6" t="s">
        <v>1083</v>
      </c>
      <c r="C93" s="8" t="s">
        <v>74</v>
      </c>
      <c r="D93" s="6" t="s">
        <v>76</v>
      </c>
    </row>
    <row r="94" spans="1:4">
      <c r="A94" s="9" t="s">
        <v>697</v>
      </c>
      <c r="B94" s="6" t="s">
        <v>1084</v>
      </c>
      <c r="C94" s="8" t="s">
        <v>74</v>
      </c>
      <c r="D94" s="6" t="s">
        <v>76</v>
      </c>
    </row>
    <row r="95" spans="1:4">
      <c r="A95" s="9" t="s">
        <v>698</v>
      </c>
      <c r="B95" s="6" t="s">
        <v>1085</v>
      </c>
      <c r="C95" s="8" t="s">
        <v>74</v>
      </c>
      <c r="D95" s="6" t="s">
        <v>76</v>
      </c>
    </row>
    <row r="96" spans="1:4">
      <c r="A96" s="9" t="s">
        <v>699</v>
      </c>
      <c r="B96" s="6" t="s">
        <v>1086</v>
      </c>
      <c r="C96" s="8" t="s">
        <v>74</v>
      </c>
      <c r="D96" s="6" t="s">
        <v>76</v>
      </c>
    </row>
    <row r="97" spans="1:4">
      <c r="A97" s="9" t="s">
        <v>700</v>
      </c>
      <c r="B97" s="6" t="s">
        <v>1087</v>
      </c>
      <c r="C97" s="8" t="s">
        <v>74</v>
      </c>
      <c r="D97" s="6" t="s">
        <v>76</v>
      </c>
    </row>
    <row r="98" spans="1:4">
      <c r="A98" s="9" t="s">
        <v>701</v>
      </c>
      <c r="B98" s="6" t="s">
        <v>1088</v>
      </c>
      <c r="C98" s="8" t="s">
        <v>74</v>
      </c>
      <c r="D98" s="6" t="s">
        <v>76</v>
      </c>
    </row>
    <row r="99" spans="1:4">
      <c r="A99" s="313" t="s">
        <v>1868</v>
      </c>
      <c r="B99" s="6" t="s">
        <v>1867</v>
      </c>
      <c r="C99" s="8" t="s">
        <v>74</v>
      </c>
      <c r="D99" s="6" t="s">
        <v>76</v>
      </c>
    </row>
    <row r="100" spans="1:4">
      <c r="A100" s="9" t="s">
        <v>702</v>
      </c>
      <c r="B100" s="6" t="s">
        <v>1089</v>
      </c>
      <c r="C100" s="8" t="s">
        <v>74</v>
      </c>
      <c r="D100" s="6" t="s">
        <v>76</v>
      </c>
    </row>
    <row r="101" spans="1:4">
      <c r="A101" s="9" t="s">
        <v>703</v>
      </c>
      <c r="B101" s="6" t="s">
        <v>1090</v>
      </c>
      <c r="C101" s="8" t="s">
        <v>74</v>
      </c>
      <c r="D101" s="6" t="s">
        <v>76</v>
      </c>
    </row>
    <row r="102" spans="1:4">
      <c r="A102" s="9" t="s">
        <v>704</v>
      </c>
      <c r="B102" s="6" t="s">
        <v>1091</v>
      </c>
      <c r="C102" s="8" t="s">
        <v>74</v>
      </c>
      <c r="D102" s="6" t="s">
        <v>76</v>
      </c>
    </row>
    <row r="103" spans="1:4">
      <c r="A103" s="313" t="s">
        <v>1869</v>
      </c>
      <c r="B103" s="6" t="s">
        <v>1092</v>
      </c>
      <c r="C103" s="8" t="s">
        <v>74</v>
      </c>
      <c r="D103" s="6" t="s">
        <v>76</v>
      </c>
    </row>
    <row r="104" spans="1:4">
      <c r="A104" s="313" t="s">
        <v>1874</v>
      </c>
      <c r="B104" s="6" t="s">
        <v>1870</v>
      </c>
      <c r="C104" s="8" t="s">
        <v>74</v>
      </c>
      <c r="D104" s="6" t="s">
        <v>76</v>
      </c>
    </row>
    <row r="105" spans="1:4">
      <c r="A105" s="313" t="s">
        <v>1875</v>
      </c>
      <c r="B105" s="6" t="s">
        <v>1871</v>
      </c>
      <c r="C105" s="8" t="s">
        <v>74</v>
      </c>
      <c r="D105" s="6" t="s">
        <v>76</v>
      </c>
    </row>
    <row r="106" spans="1:4">
      <c r="A106" s="313" t="s">
        <v>1876</v>
      </c>
      <c r="B106" s="6" t="s">
        <v>1872</v>
      </c>
      <c r="C106" s="8" t="s">
        <v>74</v>
      </c>
      <c r="D106" s="6" t="s">
        <v>76</v>
      </c>
    </row>
    <row r="107" spans="1:4">
      <c r="A107" s="313" t="s">
        <v>1877</v>
      </c>
      <c r="B107" s="6" t="s">
        <v>1873</v>
      </c>
      <c r="C107" s="8" t="s">
        <v>74</v>
      </c>
      <c r="D107" s="6" t="s">
        <v>76</v>
      </c>
    </row>
    <row r="108" spans="1:4">
      <c r="A108" s="9" t="s">
        <v>705</v>
      </c>
      <c r="B108" s="6" t="s">
        <v>1093</v>
      </c>
      <c r="C108" s="8" t="s">
        <v>74</v>
      </c>
      <c r="D108" s="6" t="s">
        <v>76</v>
      </c>
    </row>
    <row r="109" spans="1:4">
      <c r="A109" s="313" t="s">
        <v>1879</v>
      </c>
      <c r="B109" s="6" t="s">
        <v>1878</v>
      </c>
      <c r="C109" s="8" t="s">
        <v>74</v>
      </c>
      <c r="D109" s="6" t="s">
        <v>76</v>
      </c>
    </row>
    <row r="110" spans="1:4">
      <c r="A110" s="313" t="s">
        <v>1881</v>
      </c>
      <c r="B110" s="6" t="s">
        <v>1880</v>
      </c>
      <c r="C110" s="8" t="s">
        <v>74</v>
      </c>
      <c r="D110" s="6" t="s">
        <v>76</v>
      </c>
    </row>
    <row r="111" spans="1:4">
      <c r="A111" s="313" t="s">
        <v>1883</v>
      </c>
      <c r="B111" s="6" t="s">
        <v>1882</v>
      </c>
      <c r="C111" s="8" t="s">
        <v>74</v>
      </c>
      <c r="D111" s="6" t="s">
        <v>76</v>
      </c>
    </row>
    <row r="112" spans="1:4">
      <c r="A112" s="313" t="s">
        <v>1885</v>
      </c>
      <c r="B112" s="6" t="s">
        <v>1884</v>
      </c>
      <c r="C112" s="8" t="s">
        <v>74</v>
      </c>
      <c r="D112" s="6" t="s">
        <v>76</v>
      </c>
    </row>
    <row r="113" spans="1:4">
      <c r="A113" s="9" t="s">
        <v>706</v>
      </c>
      <c r="B113" s="6" t="s">
        <v>1094</v>
      </c>
      <c r="C113" s="8" t="s">
        <v>74</v>
      </c>
      <c r="D113" s="6" t="s">
        <v>76</v>
      </c>
    </row>
    <row r="114" spans="1:4">
      <c r="A114" s="313" t="s">
        <v>1887</v>
      </c>
      <c r="B114" s="6" t="s">
        <v>1886</v>
      </c>
      <c r="C114" s="8" t="s">
        <v>74</v>
      </c>
      <c r="D114" s="6" t="s">
        <v>76</v>
      </c>
    </row>
    <row r="115" spans="1:4">
      <c r="A115" s="313" t="s">
        <v>1889</v>
      </c>
      <c r="B115" s="6" t="s">
        <v>1888</v>
      </c>
      <c r="C115" s="8" t="s">
        <v>74</v>
      </c>
      <c r="D115" s="6" t="s">
        <v>76</v>
      </c>
    </row>
    <row r="116" spans="1:4">
      <c r="A116" s="313" t="s">
        <v>1891</v>
      </c>
      <c r="B116" s="6" t="s">
        <v>1890</v>
      </c>
      <c r="C116" s="8" t="s">
        <v>74</v>
      </c>
      <c r="D116" s="6" t="s">
        <v>76</v>
      </c>
    </row>
    <row r="117" spans="1:4">
      <c r="A117" s="9" t="s">
        <v>2113</v>
      </c>
      <c r="B117" s="6" t="s">
        <v>1095</v>
      </c>
      <c r="C117" s="8" t="s">
        <v>74</v>
      </c>
      <c r="D117" s="6" t="s">
        <v>76</v>
      </c>
    </row>
    <row r="118" spans="1:4">
      <c r="A118" s="9" t="s">
        <v>707</v>
      </c>
      <c r="B118" s="6" t="s">
        <v>1096</v>
      </c>
      <c r="C118" s="8" t="s">
        <v>74</v>
      </c>
      <c r="D118" s="6" t="s">
        <v>76</v>
      </c>
    </row>
    <row r="119" spans="1:4">
      <c r="A119" s="9" t="s">
        <v>708</v>
      </c>
      <c r="B119" s="6" t="s">
        <v>1097</v>
      </c>
      <c r="C119" s="8" t="s">
        <v>74</v>
      </c>
      <c r="D119" s="6" t="s">
        <v>76</v>
      </c>
    </row>
    <row r="120" spans="1:4">
      <c r="A120" s="9" t="s">
        <v>709</v>
      </c>
      <c r="B120" s="6" t="s">
        <v>1098</v>
      </c>
      <c r="C120" s="8" t="s">
        <v>74</v>
      </c>
      <c r="D120" s="6" t="s">
        <v>76</v>
      </c>
    </row>
    <row r="121" spans="1:4">
      <c r="A121" s="313" t="s">
        <v>1893</v>
      </c>
      <c r="B121" s="6" t="s">
        <v>1892</v>
      </c>
      <c r="C121" s="8" t="s">
        <v>74</v>
      </c>
      <c r="D121" s="6" t="s">
        <v>76</v>
      </c>
    </row>
    <row r="122" spans="1:4">
      <c r="A122" s="9" t="s">
        <v>710</v>
      </c>
      <c r="B122" s="6" t="s">
        <v>1099</v>
      </c>
      <c r="C122" s="8" t="s">
        <v>74</v>
      </c>
      <c r="D122" s="6" t="s">
        <v>76</v>
      </c>
    </row>
    <row r="123" spans="1:4">
      <c r="A123" s="9" t="s">
        <v>711</v>
      </c>
      <c r="B123" s="6" t="s">
        <v>1100</v>
      </c>
      <c r="C123" s="8" t="s">
        <v>74</v>
      </c>
      <c r="D123" s="6" t="s">
        <v>76</v>
      </c>
    </row>
    <row r="124" spans="1:4">
      <c r="A124" s="313" t="s">
        <v>1895</v>
      </c>
      <c r="B124" s="6" t="s">
        <v>1894</v>
      </c>
      <c r="C124" s="8" t="s">
        <v>74</v>
      </c>
      <c r="D124" s="6" t="s">
        <v>76</v>
      </c>
    </row>
    <row r="125" spans="1:4">
      <c r="A125" s="9" t="s">
        <v>712</v>
      </c>
      <c r="B125" s="6" t="s">
        <v>1101</v>
      </c>
      <c r="C125" s="8" t="s">
        <v>74</v>
      </c>
      <c r="D125" s="6" t="s">
        <v>76</v>
      </c>
    </row>
    <row r="126" spans="1:4">
      <c r="A126" s="9" t="s">
        <v>713</v>
      </c>
      <c r="B126" s="6" t="s">
        <v>1102</v>
      </c>
      <c r="C126" s="8" t="s">
        <v>74</v>
      </c>
      <c r="D126" s="6" t="s">
        <v>76</v>
      </c>
    </row>
    <row r="127" spans="1:4">
      <c r="A127" s="9" t="s">
        <v>714</v>
      </c>
      <c r="B127" s="6" t="s">
        <v>1103</v>
      </c>
      <c r="C127" s="8" t="s">
        <v>74</v>
      </c>
      <c r="D127" s="6" t="s">
        <v>76</v>
      </c>
    </row>
    <row r="128" spans="1:4">
      <c r="A128" s="9" t="s">
        <v>715</v>
      </c>
      <c r="B128" s="6" t="s">
        <v>1104</v>
      </c>
      <c r="C128" s="8" t="s">
        <v>74</v>
      </c>
      <c r="D128" s="6" t="s">
        <v>76</v>
      </c>
    </row>
    <row r="129" spans="1:4">
      <c r="A129" s="9" t="s">
        <v>716</v>
      </c>
      <c r="B129" s="6" t="s">
        <v>1105</v>
      </c>
      <c r="C129" s="8" t="s">
        <v>74</v>
      </c>
      <c r="D129" s="6" t="s">
        <v>76</v>
      </c>
    </row>
    <row r="130" spans="1:4">
      <c r="A130" s="9" t="s">
        <v>717</v>
      </c>
      <c r="B130" s="6" t="s">
        <v>1106</v>
      </c>
      <c r="C130" s="8" t="s">
        <v>74</v>
      </c>
      <c r="D130" s="6" t="s">
        <v>76</v>
      </c>
    </row>
    <row r="131" spans="1:4">
      <c r="A131" s="9" t="s">
        <v>718</v>
      </c>
      <c r="B131" s="6" t="s">
        <v>1107</v>
      </c>
      <c r="C131" s="8" t="s">
        <v>74</v>
      </c>
      <c r="D131" s="6" t="s">
        <v>76</v>
      </c>
    </row>
    <row r="132" spans="1:4">
      <c r="A132" s="313" t="s">
        <v>1897</v>
      </c>
      <c r="B132" s="6" t="s">
        <v>1896</v>
      </c>
      <c r="C132" s="8" t="s">
        <v>74</v>
      </c>
      <c r="D132" s="6" t="s">
        <v>76</v>
      </c>
    </row>
    <row r="133" spans="1:4">
      <c r="A133" s="9" t="s">
        <v>719</v>
      </c>
      <c r="B133" s="6" t="s">
        <v>1108</v>
      </c>
      <c r="C133" s="8" t="s">
        <v>74</v>
      </c>
      <c r="D133" s="6" t="s">
        <v>76</v>
      </c>
    </row>
    <row r="134" spans="1:4">
      <c r="A134" s="9" t="s">
        <v>720</v>
      </c>
      <c r="B134" s="6" t="s">
        <v>1109</v>
      </c>
      <c r="C134" s="8" t="s">
        <v>74</v>
      </c>
      <c r="D134" s="6" t="s">
        <v>76</v>
      </c>
    </row>
    <row r="135" spans="1:4">
      <c r="A135" s="9" t="s">
        <v>721</v>
      </c>
      <c r="B135" s="6" t="s">
        <v>1110</v>
      </c>
      <c r="C135" s="8" t="s">
        <v>74</v>
      </c>
      <c r="D135" s="6" t="s">
        <v>76</v>
      </c>
    </row>
    <row r="136" spans="1:4">
      <c r="A136" s="9" t="s">
        <v>722</v>
      </c>
      <c r="B136" s="6" t="s">
        <v>1111</v>
      </c>
      <c r="C136" s="8" t="s">
        <v>74</v>
      </c>
      <c r="D136" s="6" t="s">
        <v>76</v>
      </c>
    </row>
    <row r="137" spans="1:4">
      <c r="A137" s="9" t="s">
        <v>723</v>
      </c>
      <c r="B137" s="6" t="s">
        <v>1112</v>
      </c>
      <c r="C137" s="8" t="s">
        <v>74</v>
      </c>
      <c r="D137" s="6" t="s">
        <v>76</v>
      </c>
    </row>
    <row r="138" spans="1:4">
      <c r="A138" s="9" t="s">
        <v>724</v>
      </c>
      <c r="B138" s="6" t="s">
        <v>1113</v>
      </c>
      <c r="C138" s="8" t="s">
        <v>74</v>
      </c>
      <c r="D138" s="6" t="s">
        <v>76</v>
      </c>
    </row>
    <row r="139" spans="1:4">
      <c r="A139" s="9" t="s">
        <v>725</v>
      </c>
      <c r="B139" s="6" t="s">
        <v>1114</v>
      </c>
      <c r="C139" s="8" t="s">
        <v>74</v>
      </c>
      <c r="D139" s="6" t="s">
        <v>76</v>
      </c>
    </row>
    <row r="140" spans="1:4">
      <c r="A140" s="9" t="s">
        <v>726</v>
      </c>
      <c r="B140" s="6" t="s">
        <v>1115</v>
      </c>
      <c r="C140" s="8" t="s">
        <v>74</v>
      </c>
      <c r="D140" s="6" t="s">
        <v>76</v>
      </c>
    </row>
    <row r="141" spans="1:4">
      <c r="A141" s="9" t="s">
        <v>727</v>
      </c>
      <c r="B141" s="6" t="s">
        <v>1116</v>
      </c>
      <c r="C141" s="8" t="s">
        <v>74</v>
      </c>
      <c r="D141" s="6" t="s">
        <v>76</v>
      </c>
    </row>
    <row r="142" spans="1:4">
      <c r="A142" s="9" t="s">
        <v>728</v>
      </c>
      <c r="B142" s="6" t="s">
        <v>1117</v>
      </c>
      <c r="C142" s="8" t="s">
        <v>74</v>
      </c>
      <c r="D142" s="6" t="s">
        <v>76</v>
      </c>
    </row>
    <row r="143" spans="1:4">
      <c r="A143" s="9" t="s">
        <v>729</v>
      </c>
      <c r="B143" s="6" t="s">
        <v>1118</v>
      </c>
      <c r="C143" s="8" t="s">
        <v>74</v>
      </c>
      <c r="D143" s="6" t="s">
        <v>76</v>
      </c>
    </row>
    <row r="144" spans="1:4">
      <c r="A144" s="9" t="s">
        <v>730</v>
      </c>
      <c r="B144" s="6" t="s">
        <v>1119</v>
      </c>
      <c r="C144" s="8" t="s">
        <v>74</v>
      </c>
      <c r="D144" s="6" t="s">
        <v>76</v>
      </c>
    </row>
    <row r="145" spans="1:4">
      <c r="A145" s="9" t="s">
        <v>731</v>
      </c>
      <c r="B145" s="6" t="s">
        <v>1120</v>
      </c>
      <c r="C145" s="8" t="s">
        <v>74</v>
      </c>
      <c r="D145" s="6" t="s">
        <v>76</v>
      </c>
    </row>
    <row r="146" spans="1:4">
      <c r="A146" s="9" t="s">
        <v>732</v>
      </c>
      <c r="B146" s="6" t="s">
        <v>1121</v>
      </c>
      <c r="C146" s="8" t="s">
        <v>74</v>
      </c>
      <c r="D146" s="6" t="s">
        <v>76</v>
      </c>
    </row>
    <row r="147" spans="1:4">
      <c r="A147" s="9" t="s">
        <v>733</v>
      </c>
      <c r="B147" s="6" t="s">
        <v>1122</v>
      </c>
      <c r="C147" s="8" t="s">
        <v>74</v>
      </c>
      <c r="D147" s="6" t="s">
        <v>76</v>
      </c>
    </row>
    <row r="148" spans="1:4">
      <c r="A148" s="9" t="s">
        <v>734</v>
      </c>
      <c r="B148" s="6" t="s">
        <v>1123</v>
      </c>
      <c r="C148" s="8" t="s">
        <v>74</v>
      </c>
      <c r="D148" s="6" t="s">
        <v>76</v>
      </c>
    </row>
    <row r="149" spans="1:4">
      <c r="A149" s="9" t="s">
        <v>735</v>
      </c>
      <c r="B149" s="6" t="s">
        <v>1124</v>
      </c>
      <c r="C149" s="8" t="s">
        <v>74</v>
      </c>
      <c r="D149" s="6" t="s">
        <v>76</v>
      </c>
    </row>
    <row r="150" spans="1:4">
      <c r="A150" s="9" t="s">
        <v>736</v>
      </c>
      <c r="B150" s="6" t="s">
        <v>1125</v>
      </c>
      <c r="C150" s="8" t="s">
        <v>74</v>
      </c>
      <c r="D150" s="6" t="s">
        <v>76</v>
      </c>
    </row>
    <row r="151" spans="1:4">
      <c r="A151" s="9" t="s">
        <v>737</v>
      </c>
      <c r="B151" s="6" t="s">
        <v>1126</v>
      </c>
      <c r="C151" s="8" t="s">
        <v>74</v>
      </c>
      <c r="D151" s="6" t="s">
        <v>76</v>
      </c>
    </row>
    <row r="152" spans="1:4">
      <c r="A152" s="9" t="s">
        <v>738</v>
      </c>
      <c r="B152" s="6" t="s">
        <v>1127</v>
      </c>
      <c r="C152" s="8" t="s">
        <v>74</v>
      </c>
      <c r="D152" s="6" t="s">
        <v>76</v>
      </c>
    </row>
    <row r="153" spans="1:4">
      <c r="A153" s="9" t="s">
        <v>739</v>
      </c>
      <c r="B153" s="6" t="s">
        <v>1128</v>
      </c>
      <c r="C153" s="8" t="s">
        <v>74</v>
      </c>
      <c r="D153" s="6" t="s">
        <v>76</v>
      </c>
    </row>
    <row r="154" spans="1:4">
      <c r="A154" s="9" t="s">
        <v>740</v>
      </c>
      <c r="B154" s="6" t="s">
        <v>1129</v>
      </c>
      <c r="C154" s="8" t="s">
        <v>74</v>
      </c>
      <c r="D154" s="6" t="s">
        <v>76</v>
      </c>
    </row>
    <row r="155" spans="1:4">
      <c r="A155" s="9" t="s">
        <v>741</v>
      </c>
      <c r="B155" s="6" t="s">
        <v>1130</v>
      </c>
      <c r="C155" s="8" t="s">
        <v>74</v>
      </c>
      <c r="D155" s="6" t="s">
        <v>76</v>
      </c>
    </row>
    <row r="156" spans="1:4">
      <c r="A156" s="9" t="s">
        <v>742</v>
      </c>
      <c r="B156" s="6" t="s">
        <v>1131</v>
      </c>
      <c r="C156" s="8" t="s">
        <v>74</v>
      </c>
      <c r="D156" s="6" t="s">
        <v>76</v>
      </c>
    </row>
    <row r="157" spans="1:4">
      <c r="A157" s="9" t="s">
        <v>743</v>
      </c>
      <c r="B157" s="6" t="s">
        <v>1132</v>
      </c>
      <c r="C157" s="8" t="s">
        <v>74</v>
      </c>
      <c r="D157" s="6" t="s">
        <v>76</v>
      </c>
    </row>
    <row r="158" spans="1:4">
      <c r="A158" s="9" t="s">
        <v>744</v>
      </c>
      <c r="B158" s="6" t="s">
        <v>1133</v>
      </c>
      <c r="C158" s="8" t="s">
        <v>74</v>
      </c>
      <c r="D158" s="6" t="s">
        <v>76</v>
      </c>
    </row>
    <row r="159" spans="1:4">
      <c r="A159" s="9" t="s">
        <v>745</v>
      </c>
      <c r="B159" s="6" t="s">
        <v>1134</v>
      </c>
      <c r="C159" s="8" t="s">
        <v>74</v>
      </c>
      <c r="D159" s="6" t="s">
        <v>76</v>
      </c>
    </row>
    <row r="160" spans="1:4">
      <c r="A160" s="9" t="s">
        <v>746</v>
      </c>
      <c r="B160" s="6" t="s">
        <v>1135</v>
      </c>
      <c r="C160" s="8" t="s">
        <v>74</v>
      </c>
      <c r="D160" s="6" t="s">
        <v>76</v>
      </c>
    </row>
    <row r="161" spans="1:4">
      <c r="A161" s="9" t="s">
        <v>747</v>
      </c>
      <c r="B161" s="6" t="s">
        <v>1136</v>
      </c>
      <c r="C161" s="8" t="s">
        <v>74</v>
      </c>
      <c r="D161" s="6" t="s">
        <v>76</v>
      </c>
    </row>
    <row r="162" spans="1:4">
      <c r="A162" s="9" t="s">
        <v>748</v>
      </c>
      <c r="B162" s="6" t="s">
        <v>1137</v>
      </c>
      <c r="C162" s="8" t="s">
        <v>74</v>
      </c>
      <c r="D162" s="6" t="s">
        <v>76</v>
      </c>
    </row>
    <row r="163" spans="1:4">
      <c r="A163" s="9" t="s">
        <v>749</v>
      </c>
      <c r="B163" s="6" t="s">
        <v>1138</v>
      </c>
      <c r="C163" s="8" t="s">
        <v>74</v>
      </c>
      <c r="D163" s="6" t="s">
        <v>76</v>
      </c>
    </row>
    <row r="164" spans="1:4">
      <c r="A164" s="9" t="s">
        <v>750</v>
      </c>
      <c r="B164" s="6" t="s">
        <v>1139</v>
      </c>
      <c r="C164" s="8" t="s">
        <v>74</v>
      </c>
      <c r="D164" s="6" t="s">
        <v>76</v>
      </c>
    </row>
    <row r="165" spans="1:4">
      <c r="A165" s="9" t="s">
        <v>751</v>
      </c>
      <c r="B165" s="6" t="s">
        <v>1140</v>
      </c>
      <c r="C165" s="8" t="s">
        <v>74</v>
      </c>
      <c r="D165" s="6" t="s">
        <v>76</v>
      </c>
    </row>
    <row r="166" spans="1:4">
      <c r="A166" s="9" t="s">
        <v>752</v>
      </c>
      <c r="B166" s="6" t="s">
        <v>1141</v>
      </c>
      <c r="C166" s="8" t="s">
        <v>74</v>
      </c>
      <c r="D166" s="6" t="s">
        <v>76</v>
      </c>
    </row>
    <row r="167" spans="1:4">
      <c r="A167" s="9" t="s">
        <v>753</v>
      </c>
      <c r="B167" s="6" t="s">
        <v>1142</v>
      </c>
      <c r="C167" s="8" t="s">
        <v>74</v>
      </c>
      <c r="D167" s="6" t="s">
        <v>76</v>
      </c>
    </row>
    <row r="168" spans="1:4">
      <c r="A168" s="9" t="s">
        <v>754</v>
      </c>
      <c r="B168" s="6" t="s">
        <v>1143</v>
      </c>
      <c r="C168" s="8" t="s">
        <v>74</v>
      </c>
      <c r="D168" s="6" t="s">
        <v>76</v>
      </c>
    </row>
    <row r="169" spans="1:4">
      <c r="A169" s="9" t="s">
        <v>755</v>
      </c>
      <c r="B169" s="6" t="s">
        <v>1144</v>
      </c>
      <c r="C169" s="8" t="s">
        <v>74</v>
      </c>
      <c r="D169" s="6" t="s">
        <v>76</v>
      </c>
    </row>
    <row r="170" spans="1:4">
      <c r="A170" s="9" t="s">
        <v>756</v>
      </c>
      <c r="B170" s="6" t="s">
        <v>1145</v>
      </c>
      <c r="C170" s="8" t="s">
        <v>74</v>
      </c>
      <c r="D170" s="6" t="s">
        <v>76</v>
      </c>
    </row>
    <row r="171" spans="1:4">
      <c r="A171" s="9" t="s">
        <v>757</v>
      </c>
      <c r="B171" s="6" t="s">
        <v>1146</v>
      </c>
      <c r="C171" s="8" t="s">
        <v>74</v>
      </c>
      <c r="D171" s="6" t="s">
        <v>76</v>
      </c>
    </row>
    <row r="172" spans="1:4">
      <c r="A172" s="9" t="s">
        <v>758</v>
      </c>
      <c r="B172" s="6" t="s">
        <v>1147</v>
      </c>
      <c r="C172" s="8" t="s">
        <v>74</v>
      </c>
      <c r="D172" s="6" t="s">
        <v>76</v>
      </c>
    </row>
    <row r="173" spans="1:4">
      <c r="A173" s="9" t="s">
        <v>759</v>
      </c>
      <c r="B173" s="6" t="s">
        <v>1148</v>
      </c>
      <c r="C173" s="8" t="s">
        <v>74</v>
      </c>
      <c r="D173" s="6" t="s">
        <v>76</v>
      </c>
    </row>
    <row r="174" spans="1:4">
      <c r="A174" s="313" t="s">
        <v>1899</v>
      </c>
      <c r="B174" s="6" t="s">
        <v>1898</v>
      </c>
      <c r="C174" s="8" t="s">
        <v>74</v>
      </c>
      <c r="D174" s="6" t="s">
        <v>76</v>
      </c>
    </row>
    <row r="175" spans="1:4">
      <c r="A175" s="9" t="s">
        <v>760</v>
      </c>
      <c r="B175" s="6" t="s">
        <v>1149</v>
      </c>
      <c r="C175" s="8" t="s">
        <v>74</v>
      </c>
      <c r="D175" s="6" t="s">
        <v>76</v>
      </c>
    </row>
    <row r="176" spans="1:4">
      <c r="A176" s="9" t="s">
        <v>761</v>
      </c>
      <c r="B176" s="6" t="s">
        <v>1150</v>
      </c>
      <c r="C176" s="8" t="s">
        <v>74</v>
      </c>
      <c r="D176" s="6" t="s">
        <v>76</v>
      </c>
    </row>
    <row r="177" spans="1:4">
      <c r="A177" s="313" t="s">
        <v>1901</v>
      </c>
      <c r="B177" s="6" t="s">
        <v>1900</v>
      </c>
      <c r="C177" s="8" t="s">
        <v>74</v>
      </c>
      <c r="D177" s="6" t="s">
        <v>76</v>
      </c>
    </row>
    <row r="178" spans="1:4">
      <c r="A178" s="9" t="s">
        <v>762</v>
      </c>
      <c r="B178" s="6" t="s">
        <v>1151</v>
      </c>
      <c r="C178" s="8" t="s">
        <v>74</v>
      </c>
      <c r="D178" s="6" t="s">
        <v>76</v>
      </c>
    </row>
    <row r="179" spans="1:4">
      <c r="A179" s="9" t="s">
        <v>763</v>
      </c>
      <c r="B179" s="6" t="s">
        <v>1152</v>
      </c>
      <c r="C179" s="8" t="s">
        <v>74</v>
      </c>
      <c r="D179" s="6" t="s">
        <v>76</v>
      </c>
    </row>
    <row r="180" spans="1:4">
      <c r="A180" s="9" t="s">
        <v>764</v>
      </c>
      <c r="B180" s="6" t="s">
        <v>1153</v>
      </c>
      <c r="C180" s="8" t="s">
        <v>74</v>
      </c>
      <c r="D180" s="6" t="s">
        <v>76</v>
      </c>
    </row>
    <row r="181" spans="1:4">
      <c r="A181" s="9" t="s">
        <v>765</v>
      </c>
      <c r="B181" s="6" t="s">
        <v>1154</v>
      </c>
      <c r="C181" s="8" t="s">
        <v>74</v>
      </c>
      <c r="D181" s="6" t="s">
        <v>76</v>
      </c>
    </row>
    <row r="182" spans="1:4">
      <c r="A182" s="9" t="s">
        <v>766</v>
      </c>
      <c r="B182" s="6" t="s">
        <v>1155</v>
      </c>
      <c r="C182" s="8" t="s">
        <v>74</v>
      </c>
      <c r="D182" s="6" t="s">
        <v>76</v>
      </c>
    </row>
    <row r="183" spans="1:4">
      <c r="A183" s="9" t="s">
        <v>767</v>
      </c>
      <c r="B183" s="6" t="s">
        <v>1156</v>
      </c>
      <c r="C183" s="8" t="s">
        <v>74</v>
      </c>
      <c r="D183" s="6" t="s">
        <v>76</v>
      </c>
    </row>
    <row r="184" spans="1:4">
      <c r="A184" s="9" t="s">
        <v>768</v>
      </c>
      <c r="B184" s="6" t="s">
        <v>1157</v>
      </c>
      <c r="C184" s="8" t="s">
        <v>74</v>
      </c>
      <c r="D184" s="6" t="s">
        <v>76</v>
      </c>
    </row>
    <row r="185" spans="1:4">
      <c r="A185" s="9" t="s">
        <v>769</v>
      </c>
      <c r="B185" s="6" t="s">
        <v>1158</v>
      </c>
      <c r="C185" s="8" t="s">
        <v>74</v>
      </c>
      <c r="D185" s="6" t="s">
        <v>76</v>
      </c>
    </row>
    <row r="186" spans="1:4">
      <c r="A186" s="9" t="s">
        <v>770</v>
      </c>
      <c r="B186" s="6" t="s">
        <v>1159</v>
      </c>
      <c r="C186" s="8" t="s">
        <v>74</v>
      </c>
      <c r="D186" s="6" t="s">
        <v>76</v>
      </c>
    </row>
    <row r="187" spans="1:4">
      <c r="A187" s="313" t="s">
        <v>1903</v>
      </c>
      <c r="B187" s="6" t="s">
        <v>1902</v>
      </c>
      <c r="C187" s="8" t="s">
        <v>74</v>
      </c>
      <c r="D187" s="6" t="s">
        <v>76</v>
      </c>
    </row>
    <row r="188" spans="1:4">
      <c r="A188" s="9" t="s">
        <v>771</v>
      </c>
      <c r="B188" s="6" t="s">
        <v>1160</v>
      </c>
      <c r="C188" s="8" t="s">
        <v>74</v>
      </c>
      <c r="D188" s="6" t="s">
        <v>76</v>
      </c>
    </row>
    <row r="189" spans="1:4">
      <c r="A189" s="9" t="s">
        <v>1904</v>
      </c>
      <c r="B189" s="6" t="s">
        <v>1161</v>
      </c>
      <c r="C189" s="8" t="s">
        <v>74</v>
      </c>
      <c r="D189" s="6" t="s">
        <v>76</v>
      </c>
    </row>
    <row r="190" spans="1:4">
      <c r="A190" s="313" t="s">
        <v>1906</v>
      </c>
      <c r="B190" s="6" t="s">
        <v>1905</v>
      </c>
      <c r="C190" s="8" t="s">
        <v>74</v>
      </c>
      <c r="D190" s="6" t="s">
        <v>76</v>
      </c>
    </row>
    <row r="191" spans="1:4">
      <c r="A191" s="9" t="s">
        <v>772</v>
      </c>
      <c r="B191" s="6" t="s">
        <v>1162</v>
      </c>
      <c r="C191" s="8" t="s">
        <v>74</v>
      </c>
      <c r="D191" s="6" t="s">
        <v>76</v>
      </c>
    </row>
    <row r="192" spans="1:4">
      <c r="A192" s="9" t="s">
        <v>773</v>
      </c>
      <c r="B192" s="6" t="s">
        <v>1163</v>
      </c>
      <c r="C192" s="8" t="s">
        <v>74</v>
      </c>
      <c r="D192" s="6" t="s">
        <v>76</v>
      </c>
    </row>
    <row r="193" spans="1:4">
      <c r="A193" s="9" t="s">
        <v>774</v>
      </c>
      <c r="B193" s="6" t="s">
        <v>1164</v>
      </c>
      <c r="C193" s="8" t="s">
        <v>74</v>
      </c>
      <c r="D193" s="6" t="s">
        <v>76</v>
      </c>
    </row>
    <row r="194" spans="1:4">
      <c r="A194" s="9" t="s">
        <v>775</v>
      </c>
      <c r="B194" s="6" t="s">
        <v>1165</v>
      </c>
      <c r="C194" s="8" t="s">
        <v>74</v>
      </c>
      <c r="D194" s="6" t="s">
        <v>76</v>
      </c>
    </row>
    <row r="195" spans="1:4">
      <c r="A195" s="313" t="s">
        <v>1908</v>
      </c>
      <c r="B195" s="6" t="s">
        <v>1907</v>
      </c>
      <c r="C195" s="8" t="s">
        <v>74</v>
      </c>
      <c r="D195" s="6" t="s">
        <v>76</v>
      </c>
    </row>
    <row r="196" spans="1:4">
      <c r="A196" s="9" t="s">
        <v>776</v>
      </c>
      <c r="B196" s="6" t="s">
        <v>1166</v>
      </c>
      <c r="C196" s="8" t="s">
        <v>74</v>
      </c>
      <c r="D196" s="6" t="s">
        <v>76</v>
      </c>
    </row>
    <row r="197" spans="1:4">
      <c r="A197" s="9" t="s">
        <v>777</v>
      </c>
      <c r="B197" s="6" t="s">
        <v>1167</v>
      </c>
      <c r="C197" s="8" t="s">
        <v>74</v>
      </c>
      <c r="D197" s="6" t="s">
        <v>76</v>
      </c>
    </row>
    <row r="198" spans="1:4">
      <c r="A198" s="9" t="s">
        <v>778</v>
      </c>
      <c r="B198" s="6" t="s">
        <v>1168</v>
      </c>
      <c r="C198" s="8" t="s">
        <v>74</v>
      </c>
      <c r="D198" s="6" t="s">
        <v>76</v>
      </c>
    </row>
    <row r="199" spans="1:4">
      <c r="A199" s="9" t="s">
        <v>779</v>
      </c>
      <c r="B199" s="6" t="s">
        <v>1169</v>
      </c>
      <c r="C199" s="8" t="s">
        <v>74</v>
      </c>
      <c r="D199" s="6" t="s">
        <v>76</v>
      </c>
    </row>
    <row r="200" spans="1:4">
      <c r="A200" s="313" t="s">
        <v>1910</v>
      </c>
      <c r="B200" s="6" t="s">
        <v>1909</v>
      </c>
      <c r="C200" s="8" t="s">
        <v>74</v>
      </c>
      <c r="D200" s="6" t="s">
        <v>76</v>
      </c>
    </row>
    <row r="201" spans="1:4">
      <c r="A201" s="9" t="s">
        <v>780</v>
      </c>
      <c r="B201" s="6" t="s">
        <v>1170</v>
      </c>
      <c r="C201" s="8" t="s">
        <v>74</v>
      </c>
      <c r="D201" s="6" t="s">
        <v>76</v>
      </c>
    </row>
    <row r="202" spans="1:4">
      <c r="A202" s="9" t="s">
        <v>781</v>
      </c>
      <c r="B202" s="6" t="s">
        <v>1171</v>
      </c>
      <c r="C202" s="8" t="s">
        <v>74</v>
      </c>
      <c r="D202" s="6" t="s">
        <v>76</v>
      </c>
    </row>
    <row r="203" spans="1:4">
      <c r="A203" s="9" t="s">
        <v>782</v>
      </c>
      <c r="B203" s="6" t="s">
        <v>1172</v>
      </c>
      <c r="C203" s="8" t="s">
        <v>74</v>
      </c>
      <c r="D203" s="6" t="s">
        <v>76</v>
      </c>
    </row>
    <row r="204" spans="1:4">
      <c r="A204" s="9" t="s">
        <v>783</v>
      </c>
      <c r="B204" s="6" t="s">
        <v>1173</v>
      </c>
      <c r="C204" s="8" t="s">
        <v>74</v>
      </c>
      <c r="D204" s="6" t="s">
        <v>76</v>
      </c>
    </row>
    <row r="205" spans="1:4">
      <c r="A205" s="9" t="s">
        <v>784</v>
      </c>
      <c r="B205" s="6" t="s">
        <v>1174</v>
      </c>
      <c r="C205" s="8" t="s">
        <v>74</v>
      </c>
      <c r="D205" s="6" t="s">
        <v>76</v>
      </c>
    </row>
    <row r="206" spans="1:4">
      <c r="A206" s="9" t="s">
        <v>785</v>
      </c>
      <c r="B206" s="6" t="s">
        <v>1175</v>
      </c>
      <c r="C206" s="8" t="s">
        <v>74</v>
      </c>
      <c r="D206" s="6" t="s">
        <v>76</v>
      </c>
    </row>
    <row r="207" spans="1:4">
      <c r="A207" s="9" t="s">
        <v>786</v>
      </c>
      <c r="B207" s="6" t="s">
        <v>1176</v>
      </c>
      <c r="C207" s="8" t="s">
        <v>74</v>
      </c>
      <c r="D207" s="6" t="s">
        <v>76</v>
      </c>
    </row>
    <row r="208" spans="1:4">
      <c r="A208" s="9" t="s">
        <v>787</v>
      </c>
      <c r="B208" s="6" t="s">
        <v>1177</v>
      </c>
      <c r="C208" s="8" t="s">
        <v>74</v>
      </c>
      <c r="D208" s="6" t="s">
        <v>76</v>
      </c>
    </row>
    <row r="209" spans="1:5">
      <c r="A209" s="9" t="s">
        <v>788</v>
      </c>
      <c r="B209" s="6" t="s">
        <v>1178</v>
      </c>
      <c r="C209" s="8" t="s">
        <v>74</v>
      </c>
      <c r="D209" s="6" t="s">
        <v>76</v>
      </c>
    </row>
    <row r="210" spans="1:5">
      <c r="A210" s="9" t="s">
        <v>789</v>
      </c>
      <c r="B210" s="6" t="s">
        <v>1179</v>
      </c>
      <c r="C210" s="8" t="s">
        <v>74</v>
      </c>
      <c r="D210" s="6" t="s">
        <v>76</v>
      </c>
    </row>
    <row r="211" spans="1:5">
      <c r="A211" s="9" t="s">
        <v>790</v>
      </c>
      <c r="B211" s="6" t="s">
        <v>1180</v>
      </c>
      <c r="C211" s="8" t="s">
        <v>74</v>
      </c>
      <c r="D211" s="6" t="s">
        <v>76</v>
      </c>
    </row>
    <row r="212" spans="1:5">
      <c r="A212" s="9" t="s">
        <v>791</v>
      </c>
      <c r="B212" s="6" t="s">
        <v>1181</v>
      </c>
      <c r="C212" s="8" t="s">
        <v>74</v>
      </c>
      <c r="D212" s="6" t="s">
        <v>76</v>
      </c>
    </row>
    <row r="213" spans="1:5">
      <c r="A213" s="9" t="s">
        <v>792</v>
      </c>
      <c r="B213" s="6" t="s">
        <v>1182</v>
      </c>
      <c r="C213" s="8" t="s">
        <v>74</v>
      </c>
      <c r="D213" s="6" t="s">
        <v>76</v>
      </c>
    </row>
    <row r="214" spans="1:5">
      <c r="A214" s="9" t="s">
        <v>793</v>
      </c>
      <c r="B214" s="6" t="s">
        <v>1183</v>
      </c>
      <c r="C214" s="8" t="s">
        <v>74</v>
      </c>
      <c r="D214" s="6" t="s">
        <v>76</v>
      </c>
    </row>
    <row r="215" spans="1:5">
      <c r="A215" s="9" t="s">
        <v>794</v>
      </c>
      <c r="B215" s="6" t="s">
        <v>1184</v>
      </c>
      <c r="C215" s="8" t="s">
        <v>74</v>
      </c>
      <c r="D215" s="6" t="s">
        <v>76</v>
      </c>
    </row>
    <row r="216" spans="1:5">
      <c r="A216" s="312" t="s">
        <v>1911</v>
      </c>
      <c r="B216" s="6" t="s">
        <v>1185</v>
      </c>
      <c r="C216" s="8" t="s">
        <v>74</v>
      </c>
      <c r="D216" s="6" t="s">
        <v>76</v>
      </c>
    </row>
    <row r="217" spans="1:5">
      <c r="A217" s="9" t="s">
        <v>2114</v>
      </c>
      <c r="B217" s="350">
        <v>22860</v>
      </c>
      <c r="C217" s="8" t="s">
        <v>74</v>
      </c>
      <c r="D217" s="6" t="s">
        <v>76</v>
      </c>
      <c r="E217" s="351">
        <v>44382</v>
      </c>
    </row>
    <row r="218" spans="1:5">
      <c r="A218" s="9" t="s">
        <v>795</v>
      </c>
      <c r="B218" s="6" t="s">
        <v>1186</v>
      </c>
      <c r="C218" s="8" t="s">
        <v>74</v>
      </c>
      <c r="D218" s="6" t="s">
        <v>76</v>
      </c>
    </row>
    <row r="219" spans="1:5">
      <c r="A219" s="9" t="s">
        <v>796</v>
      </c>
      <c r="B219" s="6" t="s">
        <v>1187</v>
      </c>
      <c r="C219" s="8" t="s">
        <v>74</v>
      </c>
      <c r="D219" s="6" t="s">
        <v>76</v>
      </c>
    </row>
    <row r="220" spans="1:5">
      <c r="A220" s="9" t="s">
        <v>797</v>
      </c>
      <c r="B220" s="6" t="s">
        <v>1188</v>
      </c>
      <c r="C220" s="8" t="s">
        <v>74</v>
      </c>
      <c r="D220" s="6" t="s">
        <v>76</v>
      </c>
    </row>
    <row r="221" spans="1:5">
      <c r="A221" s="9" t="s">
        <v>798</v>
      </c>
      <c r="B221" s="6" t="s">
        <v>1189</v>
      </c>
      <c r="C221" s="8" t="s">
        <v>74</v>
      </c>
      <c r="D221" s="6" t="s">
        <v>76</v>
      </c>
    </row>
    <row r="222" spans="1:5">
      <c r="A222" s="9" t="s">
        <v>799</v>
      </c>
      <c r="B222" s="6" t="s">
        <v>1190</v>
      </c>
      <c r="C222" s="8" t="s">
        <v>74</v>
      </c>
      <c r="D222" s="6" t="s">
        <v>76</v>
      </c>
    </row>
    <row r="223" spans="1:5">
      <c r="A223" s="9" t="s">
        <v>800</v>
      </c>
      <c r="B223" s="6" t="s">
        <v>1191</v>
      </c>
      <c r="C223" s="8" t="s">
        <v>74</v>
      </c>
      <c r="D223" s="6" t="s">
        <v>76</v>
      </c>
    </row>
    <row r="224" spans="1:5">
      <c r="A224" s="9" t="s">
        <v>801</v>
      </c>
      <c r="B224" s="6" t="s">
        <v>1192</v>
      </c>
      <c r="C224" s="8" t="s">
        <v>74</v>
      </c>
      <c r="D224" s="6" t="s">
        <v>76</v>
      </c>
    </row>
    <row r="225" spans="1:4">
      <c r="A225" s="313" t="s">
        <v>1913</v>
      </c>
      <c r="B225" s="6" t="s">
        <v>1912</v>
      </c>
      <c r="C225" s="8" t="s">
        <v>74</v>
      </c>
      <c r="D225" s="6" t="s">
        <v>76</v>
      </c>
    </row>
    <row r="226" spans="1:4">
      <c r="A226" s="9" t="s">
        <v>802</v>
      </c>
      <c r="B226" s="6" t="s">
        <v>1193</v>
      </c>
      <c r="C226" s="8" t="s">
        <v>74</v>
      </c>
      <c r="D226" s="6" t="s">
        <v>76</v>
      </c>
    </row>
    <row r="227" spans="1:4">
      <c r="A227" s="9" t="s">
        <v>803</v>
      </c>
      <c r="B227" s="6" t="s">
        <v>1194</v>
      </c>
      <c r="C227" s="8" t="s">
        <v>74</v>
      </c>
      <c r="D227" s="6" t="s">
        <v>76</v>
      </c>
    </row>
    <row r="228" spans="1:4">
      <c r="A228" s="9" t="s">
        <v>804</v>
      </c>
      <c r="B228" s="6" t="s">
        <v>1195</v>
      </c>
      <c r="C228" s="8" t="s">
        <v>74</v>
      </c>
      <c r="D228" s="6" t="s">
        <v>76</v>
      </c>
    </row>
    <row r="229" spans="1:4">
      <c r="A229" s="9" t="s">
        <v>805</v>
      </c>
      <c r="B229" s="6" t="s">
        <v>1196</v>
      </c>
      <c r="C229" s="8" t="s">
        <v>74</v>
      </c>
      <c r="D229" s="6" t="s">
        <v>76</v>
      </c>
    </row>
    <row r="230" spans="1:4">
      <c r="A230" s="9" t="s">
        <v>806</v>
      </c>
      <c r="B230" s="6" t="s">
        <v>1197</v>
      </c>
      <c r="C230" s="8" t="s">
        <v>74</v>
      </c>
      <c r="D230" s="6" t="s">
        <v>76</v>
      </c>
    </row>
    <row r="231" spans="1:4">
      <c r="A231" s="9" t="s">
        <v>807</v>
      </c>
      <c r="B231" s="6" t="s">
        <v>1198</v>
      </c>
      <c r="C231" s="8" t="s">
        <v>74</v>
      </c>
      <c r="D231" s="6" t="s">
        <v>76</v>
      </c>
    </row>
    <row r="232" spans="1:4">
      <c r="A232" s="9" t="s">
        <v>808</v>
      </c>
      <c r="B232" s="6" t="s">
        <v>1199</v>
      </c>
      <c r="C232" s="8" t="s">
        <v>74</v>
      </c>
      <c r="D232" s="6" t="s">
        <v>76</v>
      </c>
    </row>
    <row r="233" spans="1:4">
      <c r="A233" s="9" t="s">
        <v>809</v>
      </c>
      <c r="B233" s="6" t="s">
        <v>1200</v>
      </c>
      <c r="C233" s="8" t="s">
        <v>74</v>
      </c>
      <c r="D233" s="6" t="s">
        <v>76</v>
      </c>
    </row>
    <row r="234" spans="1:4">
      <c r="A234" s="9" t="s">
        <v>810</v>
      </c>
      <c r="B234" s="6" t="s">
        <v>1201</v>
      </c>
      <c r="C234" s="8" t="s">
        <v>74</v>
      </c>
      <c r="D234" s="6" t="s">
        <v>76</v>
      </c>
    </row>
    <row r="235" spans="1:4">
      <c r="A235" s="9" t="s">
        <v>811</v>
      </c>
      <c r="B235" s="6" t="s">
        <v>1202</v>
      </c>
      <c r="C235" s="8" t="s">
        <v>74</v>
      </c>
      <c r="D235" s="6" t="s">
        <v>76</v>
      </c>
    </row>
    <row r="236" spans="1:4">
      <c r="A236" s="9" t="s">
        <v>812</v>
      </c>
      <c r="B236" s="6" t="s">
        <v>1203</v>
      </c>
      <c r="C236" s="8" t="s">
        <v>74</v>
      </c>
      <c r="D236" s="6" t="s">
        <v>76</v>
      </c>
    </row>
    <row r="237" spans="1:4">
      <c r="A237" s="9" t="s">
        <v>813</v>
      </c>
      <c r="B237" s="6" t="s">
        <v>1204</v>
      </c>
      <c r="C237" s="8" t="s">
        <v>74</v>
      </c>
      <c r="D237" s="6" t="s">
        <v>76</v>
      </c>
    </row>
    <row r="238" spans="1:4">
      <c r="A238" s="9" t="s">
        <v>814</v>
      </c>
      <c r="B238" s="6" t="s">
        <v>1205</v>
      </c>
      <c r="C238" s="8" t="s">
        <v>74</v>
      </c>
      <c r="D238" s="6" t="s">
        <v>76</v>
      </c>
    </row>
    <row r="239" spans="1:4">
      <c r="A239" s="313" t="s">
        <v>1915</v>
      </c>
      <c r="B239" s="6" t="s">
        <v>1914</v>
      </c>
      <c r="C239" s="8" t="s">
        <v>74</v>
      </c>
      <c r="D239" s="6" t="s">
        <v>76</v>
      </c>
    </row>
    <row r="240" spans="1:4">
      <c r="A240" s="313" t="s">
        <v>1917</v>
      </c>
      <c r="B240" s="6" t="s">
        <v>1916</v>
      </c>
      <c r="C240" s="8" t="s">
        <v>74</v>
      </c>
      <c r="D240" s="6" t="s">
        <v>76</v>
      </c>
    </row>
    <row r="241" spans="1:4">
      <c r="A241" s="313" t="s">
        <v>1919</v>
      </c>
      <c r="B241" s="6" t="s">
        <v>1918</v>
      </c>
      <c r="C241" s="8" t="s">
        <v>74</v>
      </c>
      <c r="D241" s="6" t="s">
        <v>76</v>
      </c>
    </row>
    <row r="242" spans="1:4">
      <c r="A242" s="9" t="s">
        <v>815</v>
      </c>
      <c r="B242" s="6" t="s">
        <v>1206</v>
      </c>
      <c r="C242" s="8" t="s">
        <v>74</v>
      </c>
      <c r="D242" s="6" t="s">
        <v>76</v>
      </c>
    </row>
    <row r="243" spans="1:4">
      <c r="A243" s="9" t="s">
        <v>816</v>
      </c>
      <c r="B243" s="6" t="s">
        <v>1207</v>
      </c>
      <c r="C243" s="8" t="s">
        <v>74</v>
      </c>
      <c r="D243" s="6" t="s">
        <v>76</v>
      </c>
    </row>
    <row r="244" spans="1:4">
      <c r="A244" s="9" t="s">
        <v>817</v>
      </c>
      <c r="B244" s="6" t="s">
        <v>1208</v>
      </c>
      <c r="C244" s="8" t="s">
        <v>74</v>
      </c>
      <c r="D244" s="6" t="s">
        <v>76</v>
      </c>
    </row>
    <row r="245" spans="1:4">
      <c r="A245" s="9" t="s">
        <v>818</v>
      </c>
      <c r="B245" s="6" t="s">
        <v>1209</v>
      </c>
      <c r="C245" s="8" t="s">
        <v>74</v>
      </c>
      <c r="D245" s="6" t="s">
        <v>76</v>
      </c>
    </row>
    <row r="246" spans="1:4">
      <c r="A246" s="9" t="s">
        <v>819</v>
      </c>
      <c r="B246" s="6" t="s">
        <v>1210</v>
      </c>
      <c r="C246" s="8" t="s">
        <v>74</v>
      </c>
      <c r="D246" s="6" t="s">
        <v>76</v>
      </c>
    </row>
    <row r="247" spans="1:4">
      <c r="A247" s="9" t="s">
        <v>820</v>
      </c>
      <c r="B247" s="6" t="s">
        <v>1211</v>
      </c>
      <c r="C247" s="8" t="s">
        <v>74</v>
      </c>
      <c r="D247" s="6" t="s">
        <v>76</v>
      </c>
    </row>
    <row r="248" spans="1:4">
      <c r="A248" s="313" t="s">
        <v>1921</v>
      </c>
      <c r="B248" s="6" t="s">
        <v>1920</v>
      </c>
      <c r="C248" s="8" t="s">
        <v>74</v>
      </c>
      <c r="D248" s="6" t="s">
        <v>76</v>
      </c>
    </row>
    <row r="249" spans="1:4">
      <c r="A249" s="9" t="s">
        <v>821</v>
      </c>
      <c r="B249" s="6" t="s">
        <v>1212</v>
      </c>
      <c r="C249" s="8" t="s">
        <v>74</v>
      </c>
      <c r="D249" s="6" t="s">
        <v>76</v>
      </c>
    </row>
    <row r="250" spans="1:4">
      <c r="A250" s="9" t="s">
        <v>822</v>
      </c>
      <c r="B250" s="6" t="s">
        <v>1213</v>
      </c>
      <c r="C250" s="8" t="s">
        <v>74</v>
      </c>
      <c r="D250" s="6" t="s">
        <v>76</v>
      </c>
    </row>
    <row r="251" spans="1:4">
      <c r="A251" s="9" t="s">
        <v>823</v>
      </c>
      <c r="B251" s="6" t="s">
        <v>1214</v>
      </c>
      <c r="C251" s="8" t="s">
        <v>74</v>
      </c>
      <c r="D251" s="6" t="s">
        <v>76</v>
      </c>
    </row>
    <row r="252" spans="1:4">
      <c r="A252" s="9" t="s">
        <v>824</v>
      </c>
      <c r="B252" s="6" t="s">
        <v>1215</v>
      </c>
      <c r="C252" s="8" t="s">
        <v>74</v>
      </c>
      <c r="D252" s="6" t="s">
        <v>76</v>
      </c>
    </row>
    <row r="253" spans="1:4">
      <c r="A253" s="313" t="s">
        <v>1923</v>
      </c>
      <c r="B253" s="6" t="s">
        <v>1922</v>
      </c>
      <c r="C253" s="8" t="s">
        <v>74</v>
      </c>
      <c r="D253" s="6" t="s">
        <v>76</v>
      </c>
    </row>
    <row r="254" spans="1:4">
      <c r="A254" s="9" t="s">
        <v>825</v>
      </c>
      <c r="B254" s="6" t="s">
        <v>1216</v>
      </c>
      <c r="C254" s="8" t="s">
        <v>74</v>
      </c>
      <c r="D254" s="6" t="s">
        <v>76</v>
      </c>
    </row>
    <row r="255" spans="1:4">
      <c r="A255" s="313" t="s">
        <v>1925</v>
      </c>
      <c r="B255" s="6" t="s">
        <v>1924</v>
      </c>
      <c r="C255" s="8" t="s">
        <v>74</v>
      </c>
      <c r="D255" s="6" t="s">
        <v>76</v>
      </c>
    </row>
    <row r="256" spans="1:4">
      <c r="A256" s="9" t="s">
        <v>826</v>
      </c>
      <c r="B256" s="6" t="s">
        <v>1217</v>
      </c>
      <c r="C256" s="8" t="s">
        <v>74</v>
      </c>
      <c r="D256" s="6" t="s">
        <v>76</v>
      </c>
    </row>
    <row r="257" spans="1:4">
      <c r="A257" s="9" t="s">
        <v>827</v>
      </c>
      <c r="B257" s="6" t="s">
        <v>1218</v>
      </c>
      <c r="C257" s="8" t="s">
        <v>74</v>
      </c>
      <c r="D257" s="6" t="s">
        <v>76</v>
      </c>
    </row>
    <row r="258" spans="1:4">
      <c r="A258" s="313" t="s">
        <v>1927</v>
      </c>
      <c r="B258" s="6" t="s">
        <v>1926</v>
      </c>
      <c r="C258" s="8" t="s">
        <v>74</v>
      </c>
      <c r="D258" s="6" t="s">
        <v>76</v>
      </c>
    </row>
    <row r="259" spans="1:4">
      <c r="A259" s="313" t="s">
        <v>1929</v>
      </c>
      <c r="B259" s="6" t="s">
        <v>1928</v>
      </c>
      <c r="C259" s="8" t="s">
        <v>74</v>
      </c>
      <c r="D259" s="6" t="s">
        <v>76</v>
      </c>
    </row>
    <row r="260" spans="1:4">
      <c r="A260" s="9" t="s">
        <v>828</v>
      </c>
      <c r="B260" s="6" t="s">
        <v>1219</v>
      </c>
      <c r="C260" s="8" t="s">
        <v>74</v>
      </c>
      <c r="D260" s="6" t="s">
        <v>76</v>
      </c>
    </row>
    <row r="261" spans="1:4">
      <c r="A261" s="9" t="s">
        <v>829</v>
      </c>
      <c r="B261" s="6" t="s">
        <v>1220</v>
      </c>
      <c r="C261" s="8" t="s">
        <v>74</v>
      </c>
      <c r="D261" s="6" t="s">
        <v>76</v>
      </c>
    </row>
    <row r="262" spans="1:4">
      <c r="A262" s="9" t="s">
        <v>830</v>
      </c>
      <c r="B262" s="6" t="s">
        <v>1221</v>
      </c>
      <c r="C262" s="8" t="s">
        <v>74</v>
      </c>
      <c r="D262" s="6" t="s">
        <v>76</v>
      </c>
    </row>
    <row r="263" spans="1:4">
      <c r="A263" s="9" t="s">
        <v>831</v>
      </c>
      <c r="B263" s="6" t="s">
        <v>1222</v>
      </c>
      <c r="C263" s="8" t="s">
        <v>74</v>
      </c>
      <c r="D263" s="6" t="s">
        <v>76</v>
      </c>
    </row>
    <row r="264" spans="1:4">
      <c r="A264" s="313" t="s">
        <v>1931</v>
      </c>
      <c r="B264" s="6" t="s">
        <v>1930</v>
      </c>
      <c r="C264" s="8" t="s">
        <v>74</v>
      </c>
      <c r="D264" s="6" t="s">
        <v>76</v>
      </c>
    </row>
    <row r="265" spans="1:4">
      <c r="A265" s="9" t="s">
        <v>832</v>
      </c>
      <c r="B265" s="6" t="s">
        <v>1223</v>
      </c>
      <c r="C265" s="8" t="s">
        <v>74</v>
      </c>
      <c r="D265" s="6" t="s">
        <v>76</v>
      </c>
    </row>
    <row r="266" spans="1:4">
      <c r="A266" s="9" t="s">
        <v>833</v>
      </c>
      <c r="B266" s="6" t="s">
        <v>1224</v>
      </c>
      <c r="C266" s="8" t="s">
        <v>74</v>
      </c>
      <c r="D266" s="6" t="s">
        <v>76</v>
      </c>
    </row>
    <row r="267" spans="1:4">
      <c r="A267" s="9" t="s">
        <v>834</v>
      </c>
      <c r="B267" s="6" t="s">
        <v>1225</v>
      </c>
      <c r="C267" s="8" t="s">
        <v>74</v>
      </c>
      <c r="D267" s="6" t="s">
        <v>76</v>
      </c>
    </row>
    <row r="268" spans="1:4">
      <c r="A268" s="9" t="s">
        <v>835</v>
      </c>
      <c r="B268" s="6" t="s">
        <v>1226</v>
      </c>
      <c r="C268" s="8" t="s">
        <v>74</v>
      </c>
      <c r="D268" s="6" t="s">
        <v>76</v>
      </c>
    </row>
    <row r="269" spans="1:4">
      <c r="A269" s="9" t="s">
        <v>836</v>
      </c>
      <c r="B269" s="6" t="s">
        <v>1227</v>
      </c>
      <c r="C269" s="8" t="s">
        <v>74</v>
      </c>
      <c r="D269" s="6" t="s">
        <v>76</v>
      </c>
    </row>
    <row r="270" spans="1:4">
      <c r="A270" s="313" t="s">
        <v>1933</v>
      </c>
      <c r="B270" s="6" t="s">
        <v>1932</v>
      </c>
      <c r="C270" s="8" t="s">
        <v>74</v>
      </c>
      <c r="D270" s="6" t="s">
        <v>76</v>
      </c>
    </row>
    <row r="271" spans="1:4">
      <c r="A271" s="9" t="s">
        <v>837</v>
      </c>
      <c r="B271" s="6" t="s">
        <v>1228</v>
      </c>
      <c r="C271" s="8" t="s">
        <v>74</v>
      </c>
      <c r="D271" s="6" t="s">
        <v>76</v>
      </c>
    </row>
    <row r="272" spans="1:4">
      <c r="A272" s="9" t="s">
        <v>838</v>
      </c>
      <c r="B272" s="6" t="s">
        <v>1229</v>
      </c>
      <c r="C272" s="8" t="s">
        <v>74</v>
      </c>
      <c r="D272" s="6" t="s">
        <v>76</v>
      </c>
    </row>
    <row r="273" spans="1:4">
      <c r="A273" s="9" t="s">
        <v>839</v>
      </c>
      <c r="B273" s="6" t="s">
        <v>1230</v>
      </c>
      <c r="C273" s="8" t="s">
        <v>74</v>
      </c>
      <c r="D273" s="6" t="s">
        <v>76</v>
      </c>
    </row>
    <row r="274" spans="1:4">
      <c r="A274" s="9" t="s">
        <v>840</v>
      </c>
      <c r="B274" s="6" t="s">
        <v>1231</v>
      </c>
      <c r="C274" s="8" t="s">
        <v>74</v>
      </c>
      <c r="D274" s="6" t="s">
        <v>76</v>
      </c>
    </row>
    <row r="275" spans="1:4">
      <c r="A275" s="313" t="s">
        <v>1935</v>
      </c>
      <c r="B275" s="6" t="s">
        <v>1934</v>
      </c>
      <c r="C275" s="8" t="s">
        <v>74</v>
      </c>
      <c r="D275" s="6" t="s">
        <v>76</v>
      </c>
    </row>
    <row r="276" spans="1:4">
      <c r="A276" s="9" t="s">
        <v>841</v>
      </c>
      <c r="B276" s="6" t="s">
        <v>1232</v>
      </c>
      <c r="C276" s="8" t="s">
        <v>74</v>
      </c>
      <c r="D276" s="6" t="s">
        <v>76</v>
      </c>
    </row>
    <row r="277" spans="1:4">
      <c r="A277" s="9" t="s">
        <v>842</v>
      </c>
      <c r="B277" s="6" t="s">
        <v>1233</v>
      </c>
      <c r="C277" s="8" t="s">
        <v>74</v>
      </c>
      <c r="D277" s="6" t="s">
        <v>76</v>
      </c>
    </row>
    <row r="278" spans="1:4">
      <c r="A278" s="9" t="s">
        <v>843</v>
      </c>
      <c r="B278" s="6" t="s">
        <v>1234</v>
      </c>
      <c r="C278" s="8" t="s">
        <v>74</v>
      </c>
      <c r="D278" s="6" t="s">
        <v>76</v>
      </c>
    </row>
    <row r="279" spans="1:4">
      <c r="A279" s="9" t="s">
        <v>845</v>
      </c>
      <c r="B279" s="6" t="s">
        <v>1235</v>
      </c>
      <c r="C279" s="8" t="s">
        <v>74</v>
      </c>
      <c r="D279" s="6" t="s">
        <v>76</v>
      </c>
    </row>
    <row r="280" spans="1:4">
      <c r="A280" s="9" t="s">
        <v>846</v>
      </c>
      <c r="B280" s="6" t="s">
        <v>1236</v>
      </c>
      <c r="C280" s="8" t="s">
        <v>74</v>
      </c>
      <c r="D280" s="6" t="s">
        <v>76</v>
      </c>
    </row>
    <row r="281" spans="1:4">
      <c r="A281" s="9" t="s">
        <v>847</v>
      </c>
      <c r="B281" s="6" t="s">
        <v>1237</v>
      </c>
      <c r="C281" s="8" t="s">
        <v>74</v>
      </c>
      <c r="D281" s="6" t="s">
        <v>76</v>
      </c>
    </row>
    <row r="282" spans="1:4">
      <c r="A282" s="9" t="s">
        <v>848</v>
      </c>
      <c r="B282" s="6" t="s">
        <v>1238</v>
      </c>
      <c r="C282" s="8" t="s">
        <v>74</v>
      </c>
      <c r="D282" s="6" t="s">
        <v>76</v>
      </c>
    </row>
    <row r="283" spans="1:4">
      <c r="A283" s="9" t="s">
        <v>844</v>
      </c>
      <c r="B283" s="6" t="s">
        <v>1239</v>
      </c>
      <c r="C283" s="8" t="s">
        <v>74</v>
      </c>
      <c r="D283" s="6" t="s">
        <v>76</v>
      </c>
    </row>
    <row r="284" spans="1:4">
      <c r="A284" s="313" t="s">
        <v>1937</v>
      </c>
      <c r="B284" s="6" t="s">
        <v>1936</v>
      </c>
      <c r="C284" s="8" t="s">
        <v>74</v>
      </c>
      <c r="D284" s="6" t="s">
        <v>76</v>
      </c>
    </row>
    <row r="285" spans="1:4">
      <c r="A285" s="9" t="s">
        <v>849</v>
      </c>
      <c r="B285" s="6" t="s">
        <v>1240</v>
      </c>
      <c r="C285" s="8" t="s">
        <v>74</v>
      </c>
      <c r="D285" s="6" t="s">
        <v>76</v>
      </c>
    </row>
    <row r="286" spans="1:4">
      <c r="A286" s="9" t="s">
        <v>850</v>
      </c>
      <c r="B286" s="6" t="s">
        <v>1241</v>
      </c>
      <c r="C286" s="8" t="s">
        <v>74</v>
      </c>
      <c r="D286" s="6" t="s">
        <v>76</v>
      </c>
    </row>
    <row r="287" spans="1:4">
      <c r="A287" s="313" t="s">
        <v>1939</v>
      </c>
      <c r="B287" s="6" t="s">
        <v>1938</v>
      </c>
      <c r="C287" s="8" t="s">
        <v>74</v>
      </c>
      <c r="D287" s="6" t="s">
        <v>76</v>
      </c>
    </row>
    <row r="288" spans="1:4">
      <c r="A288" s="9" t="s">
        <v>851</v>
      </c>
      <c r="B288" s="6" t="s">
        <v>1242</v>
      </c>
      <c r="C288" s="8" t="s">
        <v>74</v>
      </c>
      <c r="D288" s="6" t="s">
        <v>76</v>
      </c>
    </row>
    <row r="289" spans="1:4">
      <c r="A289" s="9" t="s">
        <v>852</v>
      </c>
      <c r="B289" s="6" t="s">
        <v>1243</v>
      </c>
      <c r="C289" s="8" t="s">
        <v>74</v>
      </c>
      <c r="D289" s="6" t="s">
        <v>76</v>
      </c>
    </row>
    <row r="290" spans="1:4">
      <c r="A290" s="9" t="s">
        <v>853</v>
      </c>
      <c r="B290" s="6" t="s">
        <v>1244</v>
      </c>
      <c r="C290" s="8" t="s">
        <v>74</v>
      </c>
      <c r="D290" s="6" t="s">
        <v>76</v>
      </c>
    </row>
    <row r="291" spans="1:4">
      <c r="A291" s="313" t="s">
        <v>1941</v>
      </c>
      <c r="B291" s="6" t="s">
        <v>1940</v>
      </c>
      <c r="C291" s="8" t="s">
        <v>74</v>
      </c>
      <c r="D291" s="6" t="s">
        <v>76</v>
      </c>
    </row>
    <row r="292" spans="1:4">
      <c r="A292" s="9" t="s">
        <v>854</v>
      </c>
      <c r="B292" s="6" t="s">
        <v>1245</v>
      </c>
      <c r="C292" s="8" t="s">
        <v>74</v>
      </c>
      <c r="D292" s="6" t="s">
        <v>76</v>
      </c>
    </row>
    <row r="293" spans="1:4">
      <c r="A293" s="313" t="s">
        <v>1943</v>
      </c>
      <c r="B293" s="6" t="s">
        <v>1942</v>
      </c>
      <c r="C293" s="8" t="s">
        <v>74</v>
      </c>
      <c r="D293" s="6" t="s">
        <v>76</v>
      </c>
    </row>
    <row r="294" spans="1:4">
      <c r="A294" s="9" t="s">
        <v>855</v>
      </c>
      <c r="B294" s="6" t="s">
        <v>1246</v>
      </c>
      <c r="C294" s="8" t="s">
        <v>74</v>
      </c>
      <c r="D294" s="6" t="s">
        <v>76</v>
      </c>
    </row>
    <row r="295" spans="1:4">
      <c r="A295" s="9" t="s">
        <v>694</v>
      </c>
      <c r="B295" s="6" t="s">
        <v>1247</v>
      </c>
      <c r="C295" s="8" t="s">
        <v>74</v>
      </c>
      <c r="D295" s="6" t="s">
        <v>76</v>
      </c>
    </row>
    <row r="296" spans="1:4">
      <c r="A296" s="9" t="s">
        <v>856</v>
      </c>
      <c r="B296" s="6" t="s">
        <v>1248</v>
      </c>
      <c r="C296" s="8" t="s">
        <v>74</v>
      </c>
      <c r="D296" s="6" t="s">
        <v>76</v>
      </c>
    </row>
    <row r="297" spans="1:4">
      <c r="A297" s="9" t="s">
        <v>857</v>
      </c>
      <c r="B297" s="6" t="s">
        <v>1249</v>
      </c>
      <c r="C297" s="8" t="s">
        <v>74</v>
      </c>
      <c r="D297" s="6" t="s">
        <v>76</v>
      </c>
    </row>
    <row r="298" spans="1:4">
      <c r="A298" s="9" t="s">
        <v>858</v>
      </c>
      <c r="B298" s="6" t="s">
        <v>1250</v>
      </c>
      <c r="C298" s="8" t="s">
        <v>74</v>
      </c>
      <c r="D298" s="6" t="s">
        <v>76</v>
      </c>
    </row>
    <row r="299" spans="1:4">
      <c r="A299" s="9" t="s">
        <v>859</v>
      </c>
      <c r="B299" s="6" t="s">
        <v>1251</v>
      </c>
      <c r="C299" s="8" t="s">
        <v>74</v>
      </c>
      <c r="D299" s="6" t="s">
        <v>76</v>
      </c>
    </row>
    <row r="300" spans="1:4">
      <c r="A300" s="9" t="s">
        <v>860</v>
      </c>
      <c r="B300" s="6" t="s">
        <v>1252</v>
      </c>
      <c r="C300" s="8" t="s">
        <v>74</v>
      </c>
      <c r="D300" s="6" t="s">
        <v>76</v>
      </c>
    </row>
    <row r="301" spans="1:4">
      <c r="A301" s="9" t="s">
        <v>861</v>
      </c>
      <c r="B301" s="6" t="s">
        <v>1253</v>
      </c>
      <c r="C301" s="8" t="s">
        <v>74</v>
      </c>
      <c r="D301" s="6" t="s">
        <v>76</v>
      </c>
    </row>
    <row r="302" spans="1:4">
      <c r="A302" s="9" t="s">
        <v>862</v>
      </c>
      <c r="B302" s="6" t="s">
        <v>1254</v>
      </c>
      <c r="C302" s="8" t="s">
        <v>74</v>
      </c>
      <c r="D302" s="6" t="s">
        <v>76</v>
      </c>
    </row>
    <row r="303" spans="1:4">
      <c r="A303" s="9" t="s">
        <v>863</v>
      </c>
      <c r="B303" s="6" t="s">
        <v>1255</v>
      </c>
      <c r="C303" s="8" t="s">
        <v>74</v>
      </c>
      <c r="D303" s="6" t="s">
        <v>76</v>
      </c>
    </row>
    <row r="304" spans="1:4">
      <c r="A304" s="9" t="s">
        <v>864</v>
      </c>
      <c r="B304" s="6" t="s">
        <v>1256</v>
      </c>
      <c r="C304" s="8" t="s">
        <v>74</v>
      </c>
      <c r="D304" s="6" t="s">
        <v>76</v>
      </c>
    </row>
    <row r="305" spans="1:4">
      <c r="A305" s="313" t="s">
        <v>1945</v>
      </c>
      <c r="B305" s="6" t="s">
        <v>1944</v>
      </c>
      <c r="C305" s="8" t="s">
        <v>74</v>
      </c>
      <c r="D305" s="6" t="s">
        <v>76</v>
      </c>
    </row>
    <row r="306" spans="1:4">
      <c r="A306" s="9" t="s">
        <v>865</v>
      </c>
      <c r="B306" s="6" t="s">
        <v>1257</v>
      </c>
      <c r="C306" s="8" t="s">
        <v>74</v>
      </c>
      <c r="D306" s="6" t="s">
        <v>76</v>
      </c>
    </row>
    <row r="307" spans="1:4">
      <c r="A307" s="9" t="s">
        <v>866</v>
      </c>
      <c r="B307" s="6" t="s">
        <v>1258</v>
      </c>
      <c r="C307" s="8" t="s">
        <v>74</v>
      </c>
      <c r="D307" s="6" t="s">
        <v>76</v>
      </c>
    </row>
    <row r="308" spans="1:4">
      <c r="A308" s="9" t="s">
        <v>867</v>
      </c>
      <c r="B308" s="6" t="s">
        <v>1259</v>
      </c>
      <c r="C308" s="8" t="s">
        <v>74</v>
      </c>
      <c r="D308" s="6" t="s">
        <v>76</v>
      </c>
    </row>
    <row r="309" spans="1:4">
      <c r="A309" s="9" t="s">
        <v>868</v>
      </c>
      <c r="B309" s="6" t="s">
        <v>1260</v>
      </c>
      <c r="C309" s="8" t="s">
        <v>74</v>
      </c>
      <c r="D309" s="6" t="s">
        <v>76</v>
      </c>
    </row>
    <row r="310" spans="1:4">
      <c r="A310" s="9" t="s">
        <v>869</v>
      </c>
      <c r="B310" s="6" t="s">
        <v>1261</v>
      </c>
      <c r="C310" s="8" t="s">
        <v>74</v>
      </c>
      <c r="D310" s="6" t="s">
        <v>76</v>
      </c>
    </row>
    <row r="311" spans="1:4">
      <c r="A311" s="9" t="s">
        <v>870</v>
      </c>
      <c r="B311" s="6" t="s">
        <v>1262</v>
      </c>
      <c r="C311" s="8" t="s">
        <v>74</v>
      </c>
      <c r="D311" s="6" t="s">
        <v>76</v>
      </c>
    </row>
    <row r="312" spans="1:4">
      <c r="A312" s="9" t="s">
        <v>871</v>
      </c>
      <c r="B312" s="6" t="s">
        <v>1263</v>
      </c>
      <c r="C312" s="8" t="s">
        <v>74</v>
      </c>
      <c r="D312" s="6" t="s">
        <v>76</v>
      </c>
    </row>
    <row r="313" spans="1:4">
      <c r="A313" s="9" t="s">
        <v>872</v>
      </c>
      <c r="B313" s="6" t="s">
        <v>1264</v>
      </c>
      <c r="C313" s="8" t="s">
        <v>74</v>
      </c>
      <c r="D313" s="6" t="s">
        <v>76</v>
      </c>
    </row>
    <row r="314" spans="1:4">
      <c r="A314" s="9" t="s">
        <v>873</v>
      </c>
      <c r="B314" s="6" t="s">
        <v>1265</v>
      </c>
      <c r="C314" s="8" t="s">
        <v>74</v>
      </c>
      <c r="D314" s="6" t="s">
        <v>76</v>
      </c>
    </row>
    <row r="315" spans="1:4">
      <c r="A315" s="9" t="s">
        <v>874</v>
      </c>
      <c r="B315" s="6" t="s">
        <v>1266</v>
      </c>
      <c r="C315" s="8" t="s">
        <v>74</v>
      </c>
      <c r="D315" s="6" t="s">
        <v>76</v>
      </c>
    </row>
    <row r="316" spans="1:4">
      <c r="A316" s="9" t="s">
        <v>875</v>
      </c>
      <c r="B316" s="6" t="s">
        <v>1267</v>
      </c>
      <c r="C316" s="8" t="s">
        <v>74</v>
      </c>
      <c r="D316" s="6" t="s">
        <v>76</v>
      </c>
    </row>
    <row r="317" spans="1:4">
      <c r="A317" s="9" t="s">
        <v>876</v>
      </c>
      <c r="B317" s="6" t="s">
        <v>1268</v>
      </c>
      <c r="C317" s="8" t="s">
        <v>74</v>
      </c>
      <c r="D317" s="6" t="s">
        <v>76</v>
      </c>
    </row>
    <row r="318" spans="1:4">
      <c r="A318" s="9" t="s">
        <v>877</v>
      </c>
      <c r="B318" s="6" t="s">
        <v>1269</v>
      </c>
      <c r="C318" s="8" t="s">
        <v>74</v>
      </c>
      <c r="D318" s="6" t="s">
        <v>76</v>
      </c>
    </row>
    <row r="319" spans="1:4">
      <c r="A319" s="9" t="s">
        <v>878</v>
      </c>
      <c r="B319" s="6" t="s">
        <v>1270</v>
      </c>
      <c r="C319" s="8" t="s">
        <v>74</v>
      </c>
      <c r="D319" s="6" t="s">
        <v>76</v>
      </c>
    </row>
    <row r="320" spans="1:4">
      <c r="A320" s="313" t="s">
        <v>1947</v>
      </c>
      <c r="B320" s="6" t="s">
        <v>1946</v>
      </c>
      <c r="C320" s="8" t="s">
        <v>74</v>
      </c>
      <c r="D320" s="6" t="s">
        <v>76</v>
      </c>
    </row>
    <row r="321" spans="1:4">
      <c r="A321" s="9" t="s">
        <v>879</v>
      </c>
      <c r="B321" s="6" t="s">
        <v>1271</v>
      </c>
      <c r="C321" s="8" t="s">
        <v>74</v>
      </c>
      <c r="D321" s="6" t="s">
        <v>76</v>
      </c>
    </row>
    <row r="322" spans="1:4">
      <c r="A322" s="9" t="s">
        <v>880</v>
      </c>
      <c r="B322" s="6" t="s">
        <v>1272</v>
      </c>
      <c r="C322" s="8" t="s">
        <v>74</v>
      </c>
      <c r="D322" s="6" t="s">
        <v>76</v>
      </c>
    </row>
    <row r="323" spans="1:4">
      <c r="A323" s="313" t="s">
        <v>1949</v>
      </c>
      <c r="B323" s="6" t="s">
        <v>1948</v>
      </c>
      <c r="C323" s="8" t="s">
        <v>74</v>
      </c>
      <c r="D323" s="6" t="s">
        <v>76</v>
      </c>
    </row>
    <row r="324" spans="1:4">
      <c r="A324" s="9" t="s">
        <v>881</v>
      </c>
      <c r="B324" s="6" t="s">
        <v>1273</v>
      </c>
      <c r="C324" s="8" t="s">
        <v>74</v>
      </c>
      <c r="D324" s="6" t="s">
        <v>76</v>
      </c>
    </row>
    <row r="325" spans="1:4">
      <c r="A325" s="9" t="s">
        <v>882</v>
      </c>
      <c r="B325" s="6" t="s">
        <v>1274</v>
      </c>
      <c r="C325" s="8" t="s">
        <v>74</v>
      </c>
      <c r="D325" s="6" t="s">
        <v>76</v>
      </c>
    </row>
    <row r="326" spans="1:4">
      <c r="A326" s="9" t="s">
        <v>883</v>
      </c>
      <c r="B326" s="6" t="s">
        <v>1275</v>
      </c>
      <c r="C326" s="8" t="s">
        <v>74</v>
      </c>
      <c r="D326" s="6" t="s">
        <v>76</v>
      </c>
    </row>
    <row r="327" spans="1:4">
      <c r="A327" s="9" t="s">
        <v>884</v>
      </c>
      <c r="B327" s="6" t="s">
        <v>1276</v>
      </c>
      <c r="C327" s="8" t="s">
        <v>74</v>
      </c>
      <c r="D327" s="6" t="s">
        <v>76</v>
      </c>
    </row>
    <row r="328" spans="1:4">
      <c r="A328" s="9" t="s">
        <v>885</v>
      </c>
      <c r="B328" s="6" t="s">
        <v>1277</v>
      </c>
      <c r="C328" s="8" t="s">
        <v>74</v>
      </c>
      <c r="D328" s="6" t="s">
        <v>76</v>
      </c>
    </row>
    <row r="329" spans="1:4">
      <c r="A329" s="9" t="s">
        <v>886</v>
      </c>
      <c r="B329" s="6" t="s">
        <v>1278</v>
      </c>
      <c r="C329" s="8" t="s">
        <v>74</v>
      </c>
      <c r="D329" s="6" t="s">
        <v>76</v>
      </c>
    </row>
    <row r="330" spans="1:4">
      <c r="A330" s="9" t="s">
        <v>887</v>
      </c>
      <c r="B330" s="6" t="s">
        <v>1279</v>
      </c>
      <c r="C330" s="8" t="s">
        <v>74</v>
      </c>
      <c r="D330" s="6" t="s">
        <v>76</v>
      </c>
    </row>
    <row r="331" spans="1:4">
      <c r="A331" s="9" t="s">
        <v>888</v>
      </c>
      <c r="B331" s="6" t="s">
        <v>1280</v>
      </c>
      <c r="C331" s="8" t="s">
        <v>74</v>
      </c>
      <c r="D331" s="6" t="s">
        <v>76</v>
      </c>
    </row>
    <row r="332" spans="1:4">
      <c r="A332" s="313" t="s">
        <v>1951</v>
      </c>
      <c r="B332" s="6" t="s">
        <v>1950</v>
      </c>
      <c r="C332" s="8" t="s">
        <v>74</v>
      </c>
      <c r="D332" s="6" t="s">
        <v>76</v>
      </c>
    </row>
    <row r="333" spans="1:4">
      <c r="A333" s="313" t="s">
        <v>1953</v>
      </c>
      <c r="B333" s="6" t="s">
        <v>1952</v>
      </c>
      <c r="C333" s="8" t="s">
        <v>74</v>
      </c>
      <c r="D333" s="6" t="s">
        <v>76</v>
      </c>
    </row>
    <row r="334" spans="1:4">
      <c r="A334" s="9" t="s">
        <v>889</v>
      </c>
      <c r="B334" s="6" t="s">
        <v>1281</v>
      </c>
      <c r="C334" s="8" t="s">
        <v>74</v>
      </c>
      <c r="D334" s="6" t="s">
        <v>76</v>
      </c>
    </row>
    <row r="335" spans="1:4">
      <c r="A335" s="313" t="s">
        <v>1955</v>
      </c>
      <c r="B335" s="6" t="s">
        <v>1954</v>
      </c>
      <c r="C335" s="8" t="s">
        <v>74</v>
      </c>
      <c r="D335" s="6" t="s">
        <v>76</v>
      </c>
    </row>
    <row r="336" spans="1:4">
      <c r="A336" s="313" t="s">
        <v>1957</v>
      </c>
      <c r="B336" s="6" t="s">
        <v>1956</v>
      </c>
      <c r="C336" s="8" t="s">
        <v>74</v>
      </c>
      <c r="D336" s="6" t="s">
        <v>76</v>
      </c>
    </row>
    <row r="337" spans="1:4">
      <c r="A337" s="9" t="s">
        <v>890</v>
      </c>
      <c r="B337" s="6" t="s">
        <v>1282</v>
      </c>
      <c r="C337" s="8" t="s">
        <v>74</v>
      </c>
      <c r="D337" s="6" t="s">
        <v>76</v>
      </c>
    </row>
    <row r="338" spans="1:4">
      <c r="A338" s="313" t="s">
        <v>1959</v>
      </c>
      <c r="B338" s="6" t="s">
        <v>1958</v>
      </c>
      <c r="C338" s="8" t="s">
        <v>74</v>
      </c>
      <c r="D338" s="6" t="s">
        <v>76</v>
      </c>
    </row>
    <row r="339" spans="1:4">
      <c r="A339" s="313" t="s">
        <v>1961</v>
      </c>
      <c r="B339" s="6" t="s">
        <v>1960</v>
      </c>
      <c r="C339" s="8" t="s">
        <v>74</v>
      </c>
      <c r="D339" s="6" t="s">
        <v>76</v>
      </c>
    </row>
    <row r="340" spans="1:4">
      <c r="A340" s="313" t="s">
        <v>1963</v>
      </c>
      <c r="B340" s="6" t="s">
        <v>1962</v>
      </c>
      <c r="C340" s="8" t="s">
        <v>74</v>
      </c>
      <c r="D340" s="6" t="s">
        <v>76</v>
      </c>
    </row>
    <row r="341" spans="1:4">
      <c r="A341" s="9" t="s">
        <v>891</v>
      </c>
      <c r="B341" s="6" t="s">
        <v>1283</v>
      </c>
      <c r="C341" s="8" t="s">
        <v>74</v>
      </c>
      <c r="D341" s="6" t="s">
        <v>76</v>
      </c>
    </row>
    <row r="342" spans="1:4">
      <c r="A342" s="313" t="s">
        <v>1965</v>
      </c>
      <c r="B342" s="6" t="s">
        <v>1964</v>
      </c>
      <c r="C342" s="8" t="s">
        <v>74</v>
      </c>
      <c r="D342" s="6" t="s">
        <v>76</v>
      </c>
    </row>
    <row r="343" spans="1:4">
      <c r="A343" s="9" t="s">
        <v>892</v>
      </c>
      <c r="B343" s="6" t="s">
        <v>1284</v>
      </c>
      <c r="C343" s="8" t="s">
        <v>74</v>
      </c>
      <c r="D343" s="6" t="s">
        <v>76</v>
      </c>
    </row>
    <row r="344" spans="1:4">
      <c r="A344" s="313" t="s">
        <v>1967</v>
      </c>
      <c r="B344" s="6" t="s">
        <v>1966</v>
      </c>
      <c r="C344" s="8" t="s">
        <v>74</v>
      </c>
      <c r="D344" s="6" t="s">
        <v>76</v>
      </c>
    </row>
    <row r="345" spans="1:4">
      <c r="A345" s="313" t="s">
        <v>1969</v>
      </c>
      <c r="B345" s="6" t="s">
        <v>1968</v>
      </c>
      <c r="C345" s="8" t="s">
        <v>74</v>
      </c>
      <c r="D345" s="6" t="s">
        <v>76</v>
      </c>
    </row>
    <row r="346" spans="1:4">
      <c r="A346" s="313" t="s">
        <v>1971</v>
      </c>
      <c r="B346" s="6" t="s">
        <v>1970</v>
      </c>
      <c r="C346" s="8" t="s">
        <v>74</v>
      </c>
      <c r="D346" s="6" t="s">
        <v>76</v>
      </c>
    </row>
    <row r="347" spans="1:4">
      <c r="A347" s="9" t="s">
        <v>893</v>
      </c>
      <c r="B347" s="6" t="s">
        <v>1285</v>
      </c>
      <c r="C347" s="8" t="s">
        <v>74</v>
      </c>
      <c r="D347" s="6" t="s">
        <v>76</v>
      </c>
    </row>
    <row r="348" spans="1:4">
      <c r="A348" s="9" t="s">
        <v>894</v>
      </c>
      <c r="B348" s="6" t="s">
        <v>1286</v>
      </c>
      <c r="C348" s="8" t="s">
        <v>74</v>
      </c>
      <c r="D348" s="6" t="s">
        <v>76</v>
      </c>
    </row>
    <row r="349" spans="1:4">
      <c r="A349" s="9" t="s">
        <v>895</v>
      </c>
      <c r="B349" s="6" t="s">
        <v>1287</v>
      </c>
      <c r="C349" s="8" t="s">
        <v>74</v>
      </c>
      <c r="D349" s="6" t="s">
        <v>76</v>
      </c>
    </row>
    <row r="350" spans="1:4">
      <c r="A350" s="313" t="s">
        <v>1973</v>
      </c>
      <c r="B350" s="6" t="s">
        <v>1972</v>
      </c>
      <c r="C350" s="8" t="s">
        <v>74</v>
      </c>
      <c r="D350" s="6" t="s">
        <v>76</v>
      </c>
    </row>
    <row r="351" spans="1:4">
      <c r="A351" s="9" t="s">
        <v>896</v>
      </c>
      <c r="B351" s="6" t="s">
        <v>1288</v>
      </c>
      <c r="C351" s="8" t="s">
        <v>74</v>
      </c>
      <c r="D351" s="6" t="s">
        <v>76</v>
      </c>
    </row>
    <row r="352" spans="1:4">
      <c r="A352" s="9" t="s">
        <v>897</v>
      </c>
      <c r="B352" s="6" t="s">
        <v>1289</v>
      </c>
      <c r="C352" s="8" t="s">
        <v>74</v>
      </c>
      <c r="D352" s="6" t="s">
        <v>76</v>
      </c>
    </row>
    <row r="353" spans="1:4">
      <c r="A353" s="9" t="s">
        <v>898</v>
      </c>
      <c r="B353" s="6" t="s">
        <v>1290</v>
      </c>
      <c r="C353" s="8" t="s">
        <v>74</v>
      </c>
      <c r="D353" s="6" t="s">
        <v>76</v>
      </c>
    </row>
    <row r="354" spans="1:4">
      <c r="A354" s="9" t="s">
        <v>899</v>
      </c>
      <c r="B354" s="6" t="s">
        <v>1291</v>
      </c>
      <c r="C354" s="8" t="s">
        <v>74</v>
      </c>
      <c r="D354" s="6" t="s">
        <v>76</v>
      </c>
    </row>
    <row r="355" spans="1:4">
      <c r="A355" s="9" t="s">
        <v>900</v>
      </c>
      <c r="B355" s="6" t="s">
        <v>1292</v>
      </c>
      <c r="C355" s="8" t="s">
        <v>74</v>
      </c>
      <c r="D355" s="6" t="s">
        <v>76</v>
      </c>
    </row>
    <row r="356" spans="1:4">
      <c r="A356" s="9" t="s">
        <v>901</v>
      </c>
      <c r="B356" s="6" t="s">
        <v>1293</v>
      </c>
      <c r="C356" s="8" t="s">
        <v>74</v>
      </c>
      <c r="D356" s="6" t="s">
        <v>76</v>
      </c>
    </row>
    <row r="357" spans="1:4">
      <c r="A357" s="9" t="s">
        <v>902</v>
      </c>
      <c r="B357" s="6" t="s">
        <v>1294</v>
      </c>
      <c r="C357" s="8" t="s">
        <v>74</v>
      </c>
      <c r="D357" s="6" t="s">
        <v>76</v>
      </c>
    </row>
    <row r="358" spans="1:4">
      <c r="A358" s="9" t="s">
        <v>903</v>
      </c>
      <c r="B358" s="6" t="s">
        <v>1295</v>
      </c>
      <c r="C358" s="8" t="s">
        <v>74</v>
      </c>
      <c r="D358" s="6" t="s">
        <v>76</v>
      </c>
    </row>
    <row r="359" spans="1:4">
      <c r="A359" s="9" t="s">
        <v>904</v>
      </c>
      <c r="B359" s="6" t="s">
        <v>1296</v>
      </c>
      <c r="C359" s="8" t="s">
        <v>74</v>
      </c>
      <c r="D359" s="6" t="s">
        <v>76</v>
      </c>
    </row>
    <row r="360" spans="1:4">
      <c r="A360" s="9" t="s">
        <v>905</v>
      </c>
      <c r="B360" s="6" t="s">
        <v>1297</v>
      </c>
      <c r="C360" s="8" t="s">
        <v>74</v>
      </c>
      <c r="D360" s="6" t="s">
        <v>76</v>
      </c>
    </row>
    <row r="361" spans="1:4">
      <c r="A361" s="9" t="s">
        <v>906</v>
      </c>
      <c r="B361" s="6" t="s">
        <v>1298</v>
      </c>
      <c r="C361" s="8" t="s">
        <v>74</v>
      </c>
      <c r="D361" s="6" t="s">
        <v>76</v>
      </c>
    </row>
    <row r="362" spans="1:4">
      <c r="A362" s="312" t="s">
        <v>1974</v>
      </c>
      <c r="B362" s="6" t="s">
        <v>1299</v>
      </c>
      <c r="C362" s="8" t="s">
        <v>74</v>
      </c>
      <c r="D362" s="6" t="s">
        <v>76</v>
      </c>
    </row>
    <row r="363" spans="1:4">
      <c r="A363" s="9" t="s">
        <v>907</v>
      </c>
      <c r="B363" s="6" t="s">
        <v>1300</v>
      </c>
      <c r="C363" s="8" t="s">
        <v>74</v>
      </c>
      <c r="D363" s="6" t="s">
        <v>76</v>
      </c>
    </row>
    <row r="364" spans="1:4">
      <c r="A364" s="313" t="s">
        <v>1976</v>
      </c>
      <c r="B364" s="6" t="s">
        <v>1975</v>
      </c>
      <c r="C364" s="8" t="s">
        <v>74</v>
      </c>
      <c r="D364" s="6" t="s">
        <v>76</v>
      </c>
    </row>
    <row r="365" spans="1:4">
      <c r="A365" s="9" t="s">
        <v>908</v>
      </c>
      <c r="B365" s="6" t="s">
        <v>1301</v>
      </c>
      <c r="C365" s="8" t="s">
        <v>74</v>
      </c>
      <c r="D365" s="6" t="s">
        <v>76</v>
      </c>
    </row>
    <row r="366" spans="1:4">
      <c r="A366" s="9" t="s">
        <v>909</v>
      </c>
      <c r="B366" s="6" t="s">
        <v>1302</v>
      </c>
      <c r="C366" s="8" t="s">
        <v>74</v>
      </c>
      <c r="D366" s="6" t="s">
        <v>76</v>
      </c>
    </row>
    <row r="367" spans="1:4">
      <c r="A367" s="9" t="s">
        <v>910</v>
      </c>
      <c r="B367" s="6" t="s">
        <v>1303</v>
      </c>
      <c r="C367" s="8" t="s">
        <v>74</v>
      </c>
      <c r="D367" s="6" t="s">
        <v>76</v>
      </c>
    </row>
    <row r="368" spans="1:4">
      <c r="A368" s="9" t="s">
        <v>911</v>
      </c>
      <c r="B368" s="6" t="s">
        <v>1304</v>
      </c>
      <c r="C368" s="8" t="s">
        <v>74</v>
      </c>
      <c r="D368" s="6" t="s">
        <v>76</v>
      </c>
    </row>
    <row r="369" spans="1:4">
      <c r="A369" s="313" t="s">
        <v>1978</v>
      </c>
      <c r="B369" s="6" t="s">
        <v>1977</v>
      </c>
      <c r="C369" s="8" t="s">
        <v>74</v>
      </c>
      <c r="D369" s="6" t="s">
        <v>76</v>
      </c>
    </row>
    <row r="370" spans="1:4">
      <c r="A370" s="9" t="s">
        <v>912</v>
      </c>
      <c r="B370" s="6" t="s">
        <v>1305</v>
      </c>
      <c r="C370" s="8" t="s">
        <v>74</v>
      </c>
      <c r="D370" s="6" t="s">
        <v>76</v>
      </c>
    </row>
    <row r="371" spans="1:4">
      <c r="A371" s="9" t="s">
        <v>913</v>
      </c>
      <c r="B371" s="6" t="s">
        <v>1306</v>
      </c>
      <c r="C371" s="8" t="s">
        <v>74</v>
      </c>
      <c r="D371" s="6" t="s">
        <v>76</v>
      </c>
    </row>
    <row r="372" spans="1:4">
      <c r="A372" s="9" t="s">
        <v>914</v>
      </c>
      <c r="B372" s="6" t="s">
        <v>1307</v>
      </c>
      <c r="C372" s="8" t="s">
        <v>74</v>
      </c>
      <c r="D372" s="6" t="s">
        <v>76</v>
      </c>
    </row>
    <row r="373" spans="1:4">
      <c r="A373" s="9" t="s">
        <v>915</v>
      </c>
      <c r="B373" s="6" t="s">
        <v>1308</v>
      </c>
      <c r="C373" s="8" t="s">
        <v>74</v>
      </c>
      <c r="D373" s="6" t="s">
        <v>76</v>
      </c>
    </row>
    <row r="374" spans="1:4">
      <c r="A374" s="313" t="s">
        <v>1980</v>
      </c>
      <c r="B374" s="6" t="s">
        <v>1979</v>
      </c>
      <c r="C374" s="8" t="s">
        <v>74</v>
      </c>
      <c r="D374" s="6" t="s">
        <v>76</v>
      </c>
    </row>
    <row r="375" spans="1:4">
      <c r="A375" s="313" t="s">
        <v>1982</v>
      </c>
      <c r="B375" s="6" t="s">
        <v>1981</v>
      </c>
      <c r="C375" s="8" t="s">
        <v>74</v>
      </c>
      <c r="D375" s="6" t="s">
        <v>76</v>
      </c>
    </row>
    <row r="376" spans="1:4">
      <c r="A376" s="9" t="s">
        <v>916</v>
      </c>
      <c r="B376" s="6" t="s">
        <v>1309</v>
      </c>
      <c r="C376" s="8" t="s">
        <v>74</v>
      </c>
      <c r="D376" s="6" t="s">
        <v>76</v>
      </c>
    </row>
    <row r="377" spans="1:4">
      <c r="A377" s="313" t="s">
        <v>1984</v>
      </c>
      <c r="B377" s="6" t="s">
        <v>1983</v>
      </c>
      <c r="C377" s="8" t="s">
        <v>74</v>
      </c>
      <c r="D377" s="6" t="s">
        <v>76</v>
      </c>
    </row>
    <row r="378" spans="1:4">
      <c r="A378" s="313" t="s">
        <v>1986</v>
      </c>
      <c r="B378" s="6" t="s">
        <v>1985</v>
      </c>
      <c r="C378" s="8" t="s">
        <v>74</v>
      </c>
      <c r="D378" s="6" t="s">
        <v>76</v>
      </c>
    </row>
    <row r="379" spans="1:4">
      <c r="A379" s="9" t="s">
        <v>917</v>
      </c>
      <c r="B379" s="6" t="s">
        <v>1310</v>
      </c>
      <c r="C379" s="8" t="s">
        <v>74</v>
      </c>
      <c r="D379" s="6" t="s">
        <v>76</v>
      </c>
    </row>
    <row r="380" spans="1:4">
      <c r="A380" s="9" t="s">
        <v>918</v>
      </c>
      <c r="B380" s="6" t="s">
        <v>1311</v>
      </c>
      <c r="C380" s="8" t="s">
        <v>74</v>
      </c>
      <c r="D380" s="6" t="s">
        <v>76</v>
      </c>
    </row>
    <row r="381" spans="1:4">
      <c r="A381" s="9" t="s">
        <v>919</v>
      </c>
      <c r="B381" s="6" t="s">
        <v>1312</v>
      </c>
      <c r="C381" s="8" t="s">
        <v>74</v>
      </c>
      <c r="D381" s="6" t="s">
        <v>76</v>
      </c>
    </row>
    <row r="382" spans="1:4">
      <c r="A382" s="313" t="s">
        <v>1988</v>
      </c>
      <c r="B382" s="6" t="s">
        <v>1987</v>
      </c>
      <c r="C382" s="8" t="s">
        <v>74</v>
      </c>
      <c r="D382" s="6" t="s">
        <v>76</v>
      </c>
    </row>
    <row r="383" spans="1:4">
      <c r="A383" s="9" t="s">
        <v>920</v>
      </c>
      <c r="B383" s="6" t="s">
        <v>1313</v>
      </c>
      <c r="C383" s="8" t="s">
        <v>74</v>
      </c>
      <c r="D383" s="6" t="s">
        <v>76</v>
      </c>
    </row>
    <row r="384" spans="1:4">
      <c r="A384" s="9" t="s">
        <v>921</v>
      </c>
      <c r="B384" s="6" t="s">
        <v>1314</v>
      </c>
      <c r="C384" s="8" t="s">
        <v>74</v>
      </c>
      <c r="D384" s="6" t="s">
        <v>76</v>
      </c>
    </row>
    <row r="385" spans="1:4">
      <c r="A385" s="9" t="s">
        <v>922</v>
      </c>
      <c r="B385" s="6" t="s">
        <v>1315</v>
      </c>
      <c r="C385" s="8" t="s">
        <v>74</v>
      </c>
      <c r="D385" s="6" t="s">
        <v>76</v>
      </c>
    </row>
    <row r="386" spans="1:4">
      <c r="A386" s="9" t="s">
        <v>923</v>
      </c>
      <c r="B386" s="6" t="s">
        <v>1316</v>
      </c>
      <c r="C386" s="8" t="s">
        <v>74</v>
      </c>
      <c r="D386" s="6" t="s">
        <v>76</v>
      </c>
    </row>
    <row r="387" spans="1:4">
      <c r="A387" s="9" t="s">
        <v>924</v>
      </c>
      <c r="B387" s="6" t="s">
        <v>1317</v>
      </c>
      <c r="C387" s="8" t="s">
        <v>74</v>
      </c>
      <c r="D387" s="6" t="s">
        <v>76</v>
      </c>
    </row>
    <row r="388" spans="1:4">
      <c r="A388" s="9" t="s">
        <v>925</v>
      </c>
      <c r="B388" s="6" t="s">
        <v>1318</v>
      </c>
      <c r="C388" s="8" t="s">
        <v>74</v>
      </c>
      <c r="D388" s="6" t="s">
        <v>76</v>
      </c>
    </row>
    <row r="389" spans="1:4">
      <c r="A389" s="9" t="s">
        <v>926</v>
      </c>
      <c r="B389" s="6" t="s">
        <v>1319</v>
      </c>
      <c r="C389" s="8" t="s">
        <v>74</v>
      </c>
      <c r="D389" s="6" t="s">
        <v>76</v>
      </c>
    </row>
    <row r="390" spans="1:4">
      <c r="A390" s="9" t="s">
        <v>927</v>
      </c>
      <c r="B390" s="6" t="s">
        <v>1320</v>
      </c>
      <c r="C390" s="8" t="s">
        <v>74</v>
      </c>
      <c r="D390" s="6" t="s">
        <v>76</v>
      </c>
    </row>
    <row r="391" spans="1:4">
      <c r="A391" s="9" t="s">
        <v>928</v>
      </c>
      <c r="B391" s="6" t="s">
        <v>1321</v>
      </c>
      <c r="C391" s="8" t="s">
        <v>74</v>
      </c>
      <c r="D391" s="6" t="s">
        <v>76</v>
      </c>
    </row>
    <row r="392" spans="1:4">
      <c r="A392" s="313" t="s">
        <v>1990</v>
      </c>
      <c r="B392" s="6" t="s">
        <v>1989</v>
      </c>
      <c r="C392" s="8" t="s">
        <v>74</v>
      </c>
      <c r="D392" s="6" t="s">
        <v>76</v>
      </c>
    </row>
    <row r="393" spans="1:4">
      <c r="A393" s="313" t="s">
        <v>1992</v>
      </c>
      <c r="B393" s="6" t="s">
        <v>1991</v>
      </c>
      <c r="C393" s="8" t="s">
        <v>74</v>
      </c>
      <c r="D393" s="6" t="s">
        <v>76</v>
      </c>
    </row>
    <row r="394" spans="1:4">
      <c r="A394" s="9" t="s">
        <v>929</v>
      </c>
      <c r="B394" s="6" t="s">
        <v>1322</v>
      </c>
      <c r="C394" s="8" t="s">
        <v>74</v>
      </c>
      <c r="D394" s="6" t="s">
        <v>76</v>
      </c>
    </row>
    <row r="395" spans="1:4">
      <c r="A395" s="9" t="s">
        <v>930</v>
      </c>
      <c r="B395" s="6" t="s">
        <v>1323</v>
      </c>
      <c r="C395" s="8" t="s">
        <v>74</v>
      </c>
      <c r="D395" s="6" t="s">
        <v>76</v>
      </c>
    </row>
    <row r="396" spans="1:4">
      <c r="A396" s="9" t="s">
        <v>931</v>
      </c>
      <c r="B396" s="6" t="s">
        <v>1324</v>
      </c>
      <c r="C396" s="8" t="s">
        <v>74</v>
      </c>
      <c r="D396" s="6" t="s">
        <v>76</v>
      </c>
    </row>
    <row r="397" spans="1:4">
      <c r="A397" s="313" t="s">
        <v>1994</v>
      </c>
      <c r="B397" s="6" t="s">
        <v>1993</v>
      </c>
      <c r="C397" s="8" t="s">
        <v>74</v>
      </c>
      <c r="D397" s="6" t="s">
        <v>76</v>
      </c>
    </row>
    <row r="398" spans="1:4">
      <c r="A398" s="9" t="s">
        <v>932</v>
      </c>
      <c r="B398" s="6" t="s">
        <v>1325</v>
      </c>
      <c r="C398" s="8" t="s">
        <v>74</v>
      </c>
      <c r="D398" s="6" t="s">
        <v>76</v>
      </c>
    </row>
    <row r="399" spans="1:4">
      <c r="A399" s="9" t="s">
        <v>933</v>
      </c>
      <c r="B399" s="6" t="s">
        <v>1326</v>
      </c>
      <c r="C399" s="8" t="s">
        <v>74</v>
      </c>
      <c r="D399" s="6" t="s">
        <v>76</v>
      </c>
    </row>
    <row r="400" spans="1:4">
      <c r="A400" s="9" t="s">
        <v>934</v>
      </c>
      <c r="B400" s="6" t="s">
        <v>1327</v>
      </c>
      <c r="C400" s="8" t="s">
        <v>74</v>
      </c>
      <c r="D400" s="6" t="s">
        <v>76</v>
      </c>
    </row>
    <row r="401" spans="1:4">
      <c r="A401" s="9" t="s">
        <v>935</v>
      </c>
      <c r="B401" s="6" t="s">
        <v>1328</v>
      </c>
      <c r="C401" s="8" t="s">
        <v>74</v>
      </c>
      <c r="D401" s="6" t="s">
        <v>76</v>
      </c>
    </row>
    <row r="402" spans="1:4">
      <c r="A402" s="313" t="s">
        <v>1996</v>
      </c>
      <c r="B402" s="6" t="s">
        <v>1995</v>
      </c>
      <c r="C402" s="8" t="s">
        <v>74</v>
      </c>
      <c r="D402" s="6" t="s">
        <v>76</v>
      </c>
    </row>
    <row r="403" spans="1:4">
      <c r="A403" s="9" t="s">
        <v>936</v>
      </c>
      <c r="B403" s="6" t="s">
        <v>1329</v>
      </c>
      <c r="C403" s="8" t="s">
        <v>74</v>
      </c>
      <c r="D403" s="6" t="s">
        <v>76</v>
      </c>
    </row>
    <row r="404" spans="1:4">
      <c r="A404" s="9" t="s">
        <v>937</v>
      </c>
      <c r="B404" s="6" t="s">
        <v>1330</v>
      </c>
      <c r="C404" s="8" t="s">
        <v>74</v>
      </c>
      <c r="D404" s="6" t="s">
        <v>76</v>
      </c>
    </row>
    <row r="405" spans="1:4">
      <c r="A405" s="9" t="s">
        <v>938</v>
      </c>
      <c r="B405" s="6" t="s">
        <v>1331</v>
      </c>
      <c r="C405" s="8" t="s">
        <v>74</v>
      </c>
      <c r="D405" s="6" t="s">
        <v>76</v>
      </c>
    </row>
    <row r="406" spans="1:4">
      <c r="A406" s="313" t="s">
        <v>2027</v>
      </c>
      <c r="B406" s="6" t="s">
        <v>1997</v>
      </c>
      <c r="C406" s="8" t="s">
        <v>74</v>
      </c>
      <c r="D406" s="6" t="s">
        <v>76</v>
      </c>
    </row>
    <row r="407" spans="1:4">
      <c r="A407" s="9" t="s">
        <v>939</v>
      </c>
      <c r="B407" s="6" t="s">
        <v>1332</v>
      </c>
      <c r="C407" s="8" t="s">
        <v>74</v>
      </c>
      <c r="D407" s="6" t="s">
        <v>76</v>
      </c>
    </row>
    <row r="408" spans="1:4">
      <c r="A408" s="9" t="s">
        <v>1496</v>
      </c>
      <c r="B408" s="6" t="s">
        <v>1333</v>
      </c>
      <c r="C408" s="8" t="s">
        <v>74</v>
      </c>
      <c r="D408" s="6" t="s">
        <v>76</v>
      </c>
    </row>
    <row r="409" spans="1:4">
      <c r="A409" s="312" t="s">
        <v>1998</v>
      </c>
      <c r="B409" s="6" t="s">
        <v>1334</v>
      </c>
      <c r="C409" s="8" t="s">
        <v>74</v>
      </c>
      <c r="D409" s="6" t="s">
        <v>76</v>
      </c>
    </row>
    <row r="410" spans="1:4">
      <c r="A410" s="9" t="s">
        <v>940</v>
      </c>
      <c r="B410" s="6" t="s">
        <v>1335</v>
      </c>
      <c r="C410" s="8" t="s">
        <v>74</v>
      </c>
      <c r="D410" s="6" t="s">
        <v>76</v>
      </c>
    </row>
    <row r="411" spans="1:4">
      <c r="A411" s="9" t="s">
        <v>941</v>
      </c>
      <c r="B411" s="6" t="s">
        <v>1336</v>
      </c>
      <c r="C411" s="8" t="s">
        <v>74</v>
      </c>
      <c r="D411" s="6" t="s">
        <v>76</v>
      </c>
    </row>
    <row r="412" spans="1:4">
      <c r="A412" s="9" t="s">
        <v>942</v>
      </c>
      <c r="B412" s="6" t="s">
        <v>1337</v>
      </c>
      <c r="C412" s="8" t="s">
        <v>74</v>
      </c>
      <c r="D412" s="6" t="s">
        <v>76</v>
      </c>
    </row>
    <row r="413" spans="1:4">
      <c r="A413" s="9" t="s">
        <v>943</v>
      </c>
      <c r="B413" s="6" t="s">
        <v>1338</v>
      </c>
      <c r="C413" s="8" t="s">
        <v>74</v>
      </c>
      <c r="D413" s="6" t="s">
        <v>76</v>
      </c>
    </row>
    <row r="414" spans="1:4">
      <c r="A414" s="313" t="s">
        <v>2000</v>
      </c>
      <c r="B414" s="6" t="s">
        <v>1999</v>
      </c>
      <c r="C414" s="8" t="s">
        <v>74</v>
      </c>
      <c r="D414" s="6" t="s">
        <v>76</v>
      </c>
    </row>
    <row r="415" spans="1:4">
      <c r="A415" s="9" t="s">
        <v>944</v>
      </c>
      <c r="B415" s="6" t="s">
        <v>1339</v>
      </c>
      <c r="C415" s="8" t="s">
        <v>74</v>
      </c>
      <c r="D415" s="6" t="s">
        <v>76</v>
      </c>
    </row>
    <row r="416" spans="1:4">
      <c r="A416" s="9" t="s">
        <v>945</v>
      </c>
      <c r="B416" s="6" t="s">
        <v>1340</v>
      </c>
      <c r="C416" s="8" t="s">
        <v>74</v>
      </c>
      <c r="D416" s="6" t="s">
        <v>76</v>
      </c>
    </row>
    <row r="417" spans="1:4">
      <c r="A417" s="9" t="s">
        <v>946</v>
      </c>
      <c r="B417" s="6" t="s">
        <v>1341</v>
      </c>
      <c r="C417" s="8" t="s">
        <v>74</v>
      </c>
      <c r="D417" s="6" t="s">
        <v>76</v>
      </c>
    </row>
    <row r="418" spans="1:4">
      <c r="A418" s="9" t="s">
        <v>947</v>
      </c>
      <c r="B418" s="6" t="s">
        <v>1342</v>
      </c>
      <c r="C418" s="8" t="s">
        <v>74</v>
      </c>
      <c r="D418" s="6" t="s">
        <v>76</v>
      </c>
    </row>
    <row r="419" spans="1:4">
      <c r="A419" s="9" t="s">
        <v>948</v>
      </c>
      <c r="B419" s="6" t="s">
        <v>1343</v>
      </c>
      <c r="C419" s="8" t="s">
        <v>74</v>
      </c>
      <c r="D419" s="6" t="s">
        <v>76</v>
      </c>
    </row>
    <row r="420" spans="1:4">
      <c r="A420" s="9" t="s">
        <v>949</v>
      </c>
      <c r="B420" s="6" t="s">
        <v>1344</v>
      </c>
      <c r="C420" s="8" t="s">
        <v>74</v>
      </c>
      <c r="D420" s="6" t="s">
        <v>76</v>
      </c>
    </row>
    <row r="421" spans="1:4">
      <c r="A421" s="9" t="s">
        <v>950</v>
      </c>
      <c r="B421" s="6" t="s">
        <v>1345</v>
      </c>
      <c r="C421" s="8" t="s">
        <v>74</v>
      </c>
      <c r="D421" s="6" t="s">
        <v>76</v>
      </c>
    </row>
    <row r="422" spans="1:4">
      <c r="A422" s="9" t="s">
        <v>951</v>
      </c>
      <c r="B422" s="6" t="s">
        <v>1346</v>
      </c>
      <c r="C422" s="8" t="s">
        <v>74</v>
      </c>
      <c r="D422" s="6" t="s">
        <v>76</v>
      </c>
    </row>
    <row r="423" spans="1:4">
      <c r="A423" s="9" t="s">
        <v>952</v>
      </c>
      <c r="B423" s="6" t="s">
        <v>1347</v>
      </c>
      <c r="C423" s="8" t="s">
        <v>74</v>
      </c>
      <c r="D423" s="6" t="s">
        <v>76</v>
      </c>
    </row>
    <row r="424" spans="1:4">
      <c r="A424" s="9" t="s">
        <v>953</v>
      </c>
      <c r="B424" s="6" t="s">
        <v>1348</v>
      </c>
      <c r="C424" s="8" t="s">
        <v>74</v>
      </c>
      <c r="D424" s="6" t="s">
        <v>76</v>
      </c>
    </row>
    <row r="425" spans="1:4">
      <c r="A425" s="9" t="s">
        <v>954</v>
      </c>
      <c r="B425" s="6" t="s">
        <v>1349</v>
      </c>
      <c r="C425" s="8" t="s">
        <v>74</v>
      </c>
      <c r="D425" s="6" t="s">
        <v>76</v>
      </c>
    </row>
    <row r="426" spans="1:4">
      <c r="A426" s="9" t="s">
        <v>1497</v>
      </c>
      <c r="B426" s="6" t="s">
        <v>1350</v>
      </c>
      <c r="C426" s="8" t="s">
        <v>74</v>
      </c>
      <c r="D426" s="6" t="s">
        <v>76</v>
      </c>
    </row>
    <row r="427" spans="1:4">
      <c r="A427" s="312" t="s">
        <v>2001</v>
      </c>
      <c r="B427" s="6" t="s">
        <v>1351</v>
      </c>
      <c r="C427" s="8" t="s">
        <v>74</v>
      </c>
      <c r="D427" s="6" t="s">
        <v>76</v>
      </c>
    </row>
    <row r="428" spans="1:4">
      <c r="A428" s="9" t="s">
        <v>955</v>
      </c>
      <c r="B428" s="6" t="s">
        <v>1352</v>
      </c>
      <c r="C428" s="8" t="s">
        <v>74</v>
      </c>
      <c r="D428" s="6" t="s">
        <v>76</v>
      </c>
    </row>
    <row r="429" spans="1:4">
      <c r="A429" s="313" t="s">
        <v>2003</v>
      </c>
      <c r="B429" s="6" t="s">
        <v>2002</v>
      </c>
      <c r="C429" s="8" t="s">
        <v>74</v>
      </c>
      <c r="D429" s="6" t="s">
        <v>76</v>
      </c>
    </row>
    <row r="430" spans="1:4">
      <c r="A430" s="9" t="s">
        <v>956</v>
      </c>
      <c r="B430" s="6" t="s">
        <v>1353</v>
      </c>
      <c r="C430" s="8" t="s">
        <v>74</v>
      </c>
      <c r="D430" s="6" t="s">
        <v>76</v>
      </c>
    </row>
    <row r="431" spans="1:4">
      <c r="A431" s="9" t="s">
        <v>957</v>
      </c>
      <c r="B431" s="6" t="s">
        <v>1354</v>
      </c>
      <c r="C431" s="8" t="s">
        <v>74</v>
      </c>
      <c r="D431" s="6" t="s">
        <v>76</v>
      </c>
    </row>
    <row r="432" spans="1:4">
      <c r="A432" s="312" t="s">
        <v>2004</v>
      </c>
      <c r="B432" s="6" t="s">
        <v>1355</v>
      </c>
      <c r="C432" s="8" t="s">
        <v>74</v>
      </c>
      <c r="D432" s="6" t="s">
        <v>76</v>
      </c>
    </row>
    <row r="433" spans="1:4">
      <c r="A433" s="9" t="s">
        <v>958</v>
      </c>
      <c r="B433" s="6" t="s">
        <v>1356</v>
      </c>
      <c r="C433" s="8" t="s">
        <v>74</v>
      </c>
      <c r="D433" s="6" t="s">
        <v>76</v>
      </c>
    </row>
    <row r="434" spans="1:4">
      <c r="A434" s="9" t="s">
        <v>959</v>
      </c>
      <c r="B434" s="6" t="s">
        <v>1357</v>
      </c>
      <c r="C434" s="8" t="s">
        <v>74</v>
      </c>
      <c r="D434" s="6" t="s">
        <v>76</v>
      </c>
    </row>
    <row r="435" spans="1:4">
      <c r="A435" s="9" t="s">
        <v>960</v>
      </c>
      <c r="B435" s="6" t="s">
        <v>1358</v>
      </c>
      <c r="C435" s="8" t="s">
        <v>74</v>
      </c>
      <c r="D435" s="6" t="s">
        <v>76</v>
      </c>
    </row>
    <row r="436" spans="1:4">
      <c r="A436" s="312" t="s">
        <v>2005</v>
      </c>
      <c r="B436" s="6" t="s">
        <v>1359</v>
      </c>
      <c r="C436" s="8" t="s">
        <v>74</v>
      </c>
      <c r="D436" s="6" t="s">
        <v>76</v>
      </c>
    </row>
    <row r="437" spans="1:4">
      <c r="A437" s="9" t="s">
        <v>961</v>
      </c>
      <c r="B437" s="6" t="s">
        <v>1360</v>
      </c>
      <c r="C437" s="8" t="s">
        <v>74</v>
      </c>
      <c r="D437" s="6" t="s">
        <v>76</v>
      </c>
    </row>
    <row r="438" spans="1:4">
      <c r="A438" s="9" t="s">
        <v>962</v>
      </c>
      <c r="B438" s="6" t="s">
        <v>1361</v>
      </c>
      <c r="C438" s="8" t="s">
        <v>74</v>
      </c>
      <c r="D438" s="6" t="s">
        <v>76</v>
      </c>
    </row>
    <row r="439" spans="1:4">
      <c r="A439" s="9" t="s">
        <v>963</v>
      </c>
      <c r="B439" s="6" t="s">
        <v>1362</v>
      </c>
      <c r="C439" s="8" t="s">
        <v>74</v>
      </c>
      <c r="D439" s="6" t="s">
        <v>76</v>
      </c>
    </row>
    <row r="440" spans="1:4">
      <c r="A440" s="9" t="s">
        <v>964</v>
      </c>
      <c r="B440" s="6" t="s">
        <v>1363</v>
      </c>
      <c r="C440" s="8" t="s">
        <v>74</v>
      </c>
      <c r="D440" s="6" t="s">
        <v>76</v>
      </c>
    </row>
    <row r="441" spans="1:4">
      <c r="A441" s="313" t="s">
        <v>2007</v>
      </c>
      <c r="B441" s="6" t="s">
        <v>2006</v>
      </c>
      <c r="C441" s="8" t="s">
        <v>74</v>
      </c>
      <c r="D441" s="6" t="s">
        <v>76</v>
      </c>
    </row>
    <row r="442" spans="1:4">
      <c r="A442" s="9" t="s">
        <v>965</v>
      </c>
      <c r="B442" s="6" t="s">
        <v>1364</v>
      </c>
      <c r="C442" s="8" t="s">
        <v>74</v>
      </c>
      <c r="D442" s="6" t="s">
        <v>76</v>
      </c>
    </row>
    <row r="443" spans="1:4">
      <c r="A443" s="9" t="s">
        <v>966</v>
      </c>
      <c r="B443" s="6" t="s">
        <v>1365</v>
      </c>
      <c r="C443" s="8" t="s">
        <v>74</v>
      </c>
      <c r="D443" s="6" t="s">
        <v>76</v>
      </c>
    </row>
    <row r="444" spans="1:4">
      <c r="A444" s="9" t="s">
        <v>967</v>
      </c>
      <c r="B444" s="6" t="s">
        <v>1366</v>
      </c>
      <c r="C444" s="8" t="s">
        <v>74</v>
      </c>
      <c r="D444" s="6" t="s">
        <v>76</v>
      </c>
    </row>
    <row r="445" spans="1:4">
      <c r="A445" s="9" t="s">
        <v>968</v>
      </c>
      <c r="B445" s="6" t="s">
        <v>1367</v>
      </c>
      <c r="C445" s="8" t="s">
        <v>74</v>
      </c>
      <c r="D445" s="6" t="s">
        <v>76</v>
      </c>
    </row>
    <row r="446" spans="1:4">
      <c r="A446" s="9" t="s">
        <v>969</v>
      </c>
      <c r="B446" s="6" t="s">
        <v>1368</v>
      </c>
      <c r="C446" s="8" t="s">
        <v>74</v>
      </c>
      <c r="D446" s="6" t="s">
        <v>76</v>
      </c>
    </row>
    <row r="447" spans="1:4">
      <c r="A447" s="9" t="s">
        <v>970</v>
      </c>
      <c r="B447" s="6" t="s">
        <v>1369</v>
      </c>
      <c r="C447" s="8" t="s">
        <v>74</v>
      </c>
      <c r="D447" s="6" t="s">
        <v>76</v>
      </c>
    </row>
    <row r="448" spans="1:4">
      <c r="A448" s="9" t="s">
        <v>971</v>
      </c>
      <c r="B448" s="6" t="s">
        <v>1370</v>
      </c>
      <c r="C448" s="8" t="s">
        <v>74</v>
      </c>
      <c r="D448" s="6" t="s">
        <v>76</v>
      </c>
    </row>
    <row r="449" spans="1:4">
      <c r="A449" s="9" t="s">
        <v>972</v>
      </c>
      <c r="B449" s="6" t="s">
        <v>1371</v>
      </c>
      <c r="C449" s="8" t="s">
        <v>74</v>
      </c>
      <c r="D449" s="6" t="s">
        <v>76</v>
      </c>
    </row>
    <row r="450" spans="1:4">
      <c r="A450" s="9" t="s">
        <v>973</v>
      </c>
      <c r="B450" s="6" t="s">
        <v>1372</v>
      </c>
      <c r="C450" s="8" t="s">
        <v>74</v>
      </c>
      <c r="D450" s="6" t="s">
        <v>76</v>
      </c>
    </row>
    <row r="451" spans="1:4">
      <c r="A451" s="9" t="s">
        <v>974</v>
      </c>
      <c r="B451" s="6" t="s">
        <v>1373</v>
      </c>
      <c r="C451" s="8" t="s">
        <v>74</v>
      </c>
      <c r="D451" s="6" t="s">
        <v>76</v>
      </c>
    </row>
    <row r="452" spans="1:4">
      <c r="A452" s="9" t="s">
        <v>975</v>
      </c>
      <c r="B452" s="6" t="s">
        <v>1374</v>
      </c>
      <c r="C452" s="8" t="s">
        <v>74</v>
      </c>
      <c r="D452" s="6" t="s">
        <v>76</v>
      </c>
    </row>
    <row r="453" spans="1:4">
      <c r="A453" s="9" t="s">
        <v>976</v>
      </c>
      <c r="B453" s="6" t="s">
        <v>1375</v>
      </c>
      <c r="C453" s="8" t="s">
        <v>74</v>
      </c>
      <c r="D453" s="6" t="s">
        <v>76</v>
      </c>
    </row>
    <row r="454" spans="1:4">
      <c r="A454" s="313" t="s">
        <v>2009</v>
      </c>
      <c r="B454" s="6" t="s">
        <v>2008</v>
      </c>
      <c r="C454" s="8" t="s">
        <v>74</v>
      </c>
      <c r="D454" s="6" t="s">
        <v>76</v>
      </c>
    </row>
    <row r="455" spans="1:4">
      <c r="A455" s="313" t="s">
        <v>2011</v>
      </c>
      <c r="B455" s="6" t="s">
        <v>2010</v>
      </c>
      <c r="C455" s="8" t="s">
        <v>74</v>
      </c>
      <c r="D455" s="6" t="s">
        <v>76</v>
      </c>
    </row>
    <row r="456" spans="1:4">
      <c r="A456" s="9" t="s">
        <v>977</v>
      </c>
      <c r="B456" s="6" t="s">
        <v>1376</v>
      </c>
      <c r="C456" s="8" t="s">
        <v>74</v>
      </c>
      <c r="D456" s="6" t="s">
        <v>76</v>
      </c>
    </row>
    <row r="457" spans="1:4">
      <c r="A457" s="9" t="s">
        <v>978</v>
      </c>
      <c r="B457" s="6" t="s">
        <v>1377</v>
      </c>
      <c r="C457" s="8" t="s">
        <v>74</v>
      </c>
      <c r="D457" s="6" t="s">
        <v>76</v>
      </c>
    </row>
    <row r="458" spans="1:4">
      <c r="A458" s="9" t="s">
        <v>979</v>
      </c>
      <c r="B458" s="6" t="s">
        <v>1378</v>
      </c>
      <c r="C458" s="8" t="s">
        <v>74</v>
      </c>
      <c r="D458" s="6" t="s">
        <v>76</v>
      </c>
    </row>
    <row r="459" spans="1:4">
      <c r="A459" s="9" t="s">
        <v>980</v>
      </c>
      <c r="B459" s="6" t="s">
        <v>1379</v>
      </c>
      <c r="C459" s="8" t="s">
        <v>74</v>
      </c>
      <c r="D459" s="6" t="s">
        <v>76</v>
      </c>
    </row>
    <row r="460" spans="1:4">
      <c r="A460" s="9" t="s">
        <v>981</v>
      </c>
      <c r="B460" s="6" t="s">
        <v>1380</v>
      </c>
      <c r="C460" s="8" t="s">
        <v>74</v>
      </c>
      <c r="D460" s="6" t="s">
        <v>76</v>
      </c>
    </row>
    <row r="461" spans="1:4">
      <c r="A461" s="9" t="s">
        <v>982</v>
      </c>
      <c r="B461" s="6" t="s">
        <v>1381</v>
      </c>
      <c r="C461" s="8" t="s">
        <v>74</v>
      </c>
      <c r="D461" s="6" t="s">
        <v>76</v>
      </c>
    </row>
    <row r="462" spans="1:4">
      <c r="A462" s="9" t="s">
        <v>983</v>
      </c>
      <c r="B462" s="6" t="s">
        <v>1382</v>
      </c>
      <c r="C462" s="8" t="s">
        <v>74</v>
      </c>
      <c r="D462" s="6" t="s">
        <v>76</v>
      </c>
    </row>
    <row r="463" spans="1:4">
      <c r="A463" s="9" t="s">
        <v>984</v>
      </c>
      <c r="B463" s="6" t="s">
        <v>1383</v>
      </c>
      <c r="C463" s="8" t="s">
        <v>74</v>
      </c>
      <c r="D463" s="6" t="s">
        <v>76</v>
      </c>
    </row>
    <row r="464" spans="1:4">
      <c r="A464" s="313" t="s">
        <v>2013</v>
      </c>
      <c r="B464" s="6" t="s">
        <v>2012</v>
      </c>
      <c r="C464" s="8" t="s">
        <v>74</v>
      </c>
      <c r="D464" s="6" t="s">
        <v>76</v>
      </c>
    </row>
    <row r="465" spans="1:4">
      <c r="A465" s="9" t="s">
        <v>985</v>
      </c>
      <c r="B465" s="6" t="s">
        <v>1384</v>
      </c>
      <c r="C465" s="8" t="s">
        <v>74</v>
      </c>
      <c r="D465" s="6" t="s">
        <v>76</v>
      </c>
    </row>
    <row r="466" spans="1:4">
      <c r="A466" s="9" t="s">
        <v>986</v>
      </c>
      <c r="B466" s="6" t="s">
        <v>1385</v>
      </c>
      <c r="C466" s="8" t="s">
        <v>74</v>
      </c>
      <c r="D466" s="6" t="s">
        <v>76</v>
      </c>
    </row>
    <row r="467" spans="1:4">
      <c r="A467" s="9" t="s">
        <v>987</v>
      </c>
      <c r="B467" s="6" t="s">
        <v>1386</v>
      </c>
      <c r="C467" s="8" t="s">
        <v>74</v>
      </c>
      <c r="D467" s="6" t="s">
        <v>76</v>
      </c>
    </row>
    <row r="468" spans="1:4">
      <c r="A468" s="9" t="s">
        <v>988</v>
      </c>
      <c r="B468" s="6" t="s">
        <v>1387</v>
      </c>
      <c r="C468" s="8" t="s">
        <v>74</v>
      </c>
      <c r="D468" s="6" t="s">
        <v>76</v>
      </c>
    </row>
    <row r="469" spans="1:4">
      <c r="A469" s="9" t="s">
        <v>989</v>
      </c>
      <c r="B469" s="6" t="s">
        <v>1388</v>
      </c>
      <c r="C469" s="8" t="s">
        <v>74</v>
      </c>
      <c r="D469" s="6" t="s">
        <v>76</v>
      </c>
    </row>
    <row r="470" spans="1:4">
      <c r="A470" s="9" t="s">
        <v>990</v>
      </c>
      <c r="B470" s="6" t="s">
        <v>1389</v>
      </c>
      <c r="C470" s="8" t="s">
        <v>74</v>
      </c>
      <c r="D470" s="6" t="s">
        <v>76</v>
      </c>
    </row>
    <row r="471" spans="1:4">
      <c r="A471" s="9" t="s">
        <v>991</v>
      </c>
      <c r="B471" s="6" t="s">
        <v>1390</v>
      </c>
      <c r="C471" s="8" t="s">
        <v>74</v>
      </c>
      <c r="D471" s="6" t="s">
        <v>76</v>
      </c>
    </row>
    <row r="472" spans="1:4">
      <c r="A472" s="313" t="s">
        <v>2015</v>
      </c>
      <c r="B472" s="6" t="s">
        <v>2014</v>
      </c>
      <c r="C472" s="8" t="s">
        <v>74</v>
      </c>
      <c r="D472" s="6" t="s">
        <v>76</v>
      </c>
    </row>
    <row r="473" spans="1:4">
      <c r="A473" s="9" t="s">
        <v>992</v>
      </c>
      <c r="B473" s="6" t="s">
        <v>1391</v>
      </c>
      <c r="C473" s="8" t="s">
        <v>74</v>
      </c>
      <c r="D473" s="6" t="s">
        <v>76</v>
      </c>
    </row>
    <row r="474" spans="1:4">
      <c r="A474" s="313" t="s">
        <v>2017</v>
      </c>
      <c r="B474" s="6" t="s">
        <v>2016</v>
      </c>
      <c r="C474" s="8" t="s">
        <v>74</v>
      </c>
      <c r="D474" s="6" t="s">
        <v>76</v>
      </c>
    </row>
    <row r="475" spans="1:4">
      <c r="A475" s="9" t="s">
        <v>993</v>
      </c>
      <c r="B475" s="6" t="s">
        <v>1392</v>
      </c>
      <c r="C475" s="8" t="s">
        <v>74</v>
      </c>
      <c r="D475" s="6" t="s">
        <v>76</v>
      </c>
    </row>
    <row r="476" spans="1:4">
      <c r="A476" s="9" t="s">
        <v>994</v>
      </c>
      <c r="B476" s="6" t="s">
        <v>1393</v>
      </c>
      <c r="C476" s="8" t="s">
        <v>74</v>
      </c>
      <c r="D476" s="6" t="s">
        <v>76</v>
      </c>
    </row>
    <row r="477" spans="1:4">
      <c r="A477" s="9" t="s">
        <v>995</v>
      </c>
      <c r="B477" s="6" t="s">
        <v>1394</v>
      </c>
      <c r="C477" s="8" t="s">
        <v>74</v>
      </c>
      <c r="D477" s="6" t="s">
        <v>76</v>
      </c>
    </row>
    <row r="478" spans="1:4">
      <c r="A478" s="9" t="s">
        <v>996</v>
      </c>
      <c r="B478" s="6" t="s">
        <v>1395</v>
      </c>
      <c r="C478" s="8" t="s">
        <v>74</v>
      </c>
      <c r="D478" s="6" t="s">
        <v>76</v>
      </c>
    </row>
    <row r="479" spans="1:4">
      <c r="A479" s="313" t="s">
        <v>2019</v>
      </c>
      <c r="B479" s="6" t="s">
        <v>2018</v>
      </c>
      <c r="C479" s="8" t="s">
        <v>74</v>
      </c>
      <c r="D479" s="6" t="s">
        <v>76</v>
      </c>
    </row>
    <row r="480" spans="1:4">
      <c r="A480" s="9" t="s">
        <v>997</v>
      </c>
      <c r="B480" s="6" t="s">
        <v>1396</v>
      </c>
      <c r="C480" s="8" t="s">
        <v>74</v>
      </c>
      <c r="D480" s="6" t="s">
        <v>76</v>
      </c>
    </row>
    <row r="481" spans="1:4">
      <c r="A481" s="313" t="s">
        <v>2021</v>
      </c>
      <c r="B481" s="6" t="s">
        <v>2020</v>
      </c>
      <c r="C481" s="8" t="s">
        <v>74</v>
      </c>
      <c r="D481" s="6" t="s">
        <v>76</v>
      </c>
    </row>
    <row r="482" spans="1:4">
      <c r="A482" s="9" t="s">
        <v>998</v>
      </c>
      <c r="B482" s="6" t="s">
        <v>1397</v>
      </c>
      <c r="C482" s="8" t="s">
        <v>74</v>
      </c>
      <c r="D482" s="6" t="s">
        <v>76</v>
      </c>
    </row>
    <row r="483" spans="1:4">
      <c r="A483" s="313" t="s">
        <v>2023</v>
      </c>
      <c r="B483" s="6" t="s">
        <v>2022</v>
      </c>
      <c r="C483" s="8" t="s">
        <v>74</v>
      </c>
      <c r="D483" s="6" t="s">
        <v>76</v>
      </c>
    </row>
    <row r="484" spans="1:4">
      <c r="A484" s="313" t="s">
        <v>2025</v>
      </c>
      <c r="B484" s="6" t="s">
        <v>2024</v>
      </c>
      <c r="C484" s="8" t="s">
        <v>74</v>
      </c>
      <c r="D484" s="6" t="s">
        <v>76</v>
      </c>
    </row>
    <row r="485" spans="1:4">
      <c r="A485" s="9" t="s">
        <v>999</v>
      </c>
      <c r="B485" s="6" t="s">
        <v>1398</v>
      </c>
      <c r="C485" s="8" t="s">
        <v>74</v>
      </c>
      <c r="D485" s="6" t="s">
        <v>76</v>
      </c>
    </row>
    <row r="486" spans="1:4">
      <c r="A486" s="9" t="s">
        <v>1000</v>
      </c>
      <c r="B486" s="6" t="s">
        <v>1399</v>
      </c>
      <c r="C486" s="8" t="s">
        <v>74</v>
      </c>
      <c r="D486" s="6" t="s">
        <v>76</v>
      </c>
    </row>
    <row r="487" spans="1:4">
      <c r="A487" s="9" t="s">
        <v>1001</v>
      </c>
      <c r="B487" s="6" t="s">
        <v>1400</v>
      </c>
      <c r="C487" s="8" t="s">
        <v>74</v>
      </c>
      <c r="D487" s="6" t="s">
        <v>76</v>
      </c>
    </row>
  </sheetData>
  <phoneticPr fontId="0" type="noConversion"/>
  <conditionalFormatting sqref="A1:C1">
    <cfRule type="cellIs" dxfId="59" priority="7" stopIfTrue="1" operator="equal">
      <formula>"TBA"</formula>
    </cfRule>
    <cfRule type="cellIs" dxfId="58" priority="8" stopIfTrue="1" operator="equal">
      <formula>"Unknown"</formula>
    </cfRule>
  </conditionalFormatting>
  <conditionalFormatting sqref="A1:A216 A218:A1048576">
    <cfRule type="duplicateValues" dxfId="57" priority="5"/>
  </conditionalFormatting>
  <conditionalFormatting sqref="B1:B216 B218:B1048576">
    <cfRule type="duplicateValues" dxfId="56" priority="4"/>
  </conditionalFormatting>
  <conditionalFormatting sqref="A217">
    <cfRule type="duplicateValues" dxfId="55" priority="3"/>
  </conditionalFormatting>
  <conditionalFormatting sqref="B217">
    <cfRule type="duplicateValues" dxfId="54" priority="1"/>
  </conditionalFormatting>
  <dataValidations count="2">
    <dataValidation type="list" allowBlank="1" showInputMessage="1" showErrorMessage="1" sqref="C2:C487">
      <formula1>"'false,'true"</formula1>
    </dataValidation>
    <dataValidation type="list" allowBlank="1" showInputMessage="1" showErrorMessage="1" sqref="D2:D65605">
      <formula1>"Both,Customer Only,End Customer Only"</formula1>
    </dataValidation>
  </dataValidations>
  <printOptions horizontalCentered="1"/>
  <pageMargins left="0.74803149606299213" right="0.74803149606299213" top="0.98425196850393704" bottom="0.98425196850393704" header="0.51181102362204722" footer="0.51181102362204722"/>
  <pageSetup paperSize="9" orientation="landscape" r:id="rId1"/>
  <headerFooter alignWithMargins="0"/>
  <ignoredErrors>
    <ignoredError sqref="B342 B2:B83 B100:B103 B108 B113 B117:B180 B226 B242:B255 B256:B257 B260:B278 B324:B331 B334 B337 B341 B485:B487 B347:B349 B370:B373 B376 B379:B382 B383:B391 B394:B401 B442:B453 B456:B474 B475:B478 B104:B107 B109:B112 B114:B116 B239:B241 B258:B259 B332:B333 B335 B338:B340 B344:B346 B374:B375 B377:B378 B392:B393 B454:B455 B482 B480 B479 B481 B483:B484 B350:B357 B358:B369 B336 B343 B402:B409 B410:B439 B440:B441 B319:B323 B299:B318 B279:B298 B227:B238 B218:B225 B181:B216 B92:B99 B84:B91" numberStoredAsText="1"/>
  </ignoredError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50"/>
  </sheetPr>
  <dimension ref="A1:AF38"/>
  <sheetViews>
    <sheetView topLeftCell="A13" workbookViewId="0">
      <selection activeCell="J25" sqref="J25"/>
    </sheetView>
  </sheetViews>
  <sheetFormatPr defaultColWidth="11.42578125" defaultRowHeight="13.5"/>
  <cols>
    <col min="1" max="1" width="37.140625" style="53" customWidth="1"/>
    <col min="2" max="2" width="26.7109375" style="52" customWidth="1"/>
    <col min="3" max="3" width="9.28515625" style="53" customWidth="1"/>
    <col min="4" max="4" width="10.85546875" style="53" customWidth="1"/>
    <col min="5" max="5" width="24" style="53" customWidth="1"/>
    <col min="6" max="6" width="8.140625" style="52" customWidth="1"/>
    <col min="7" max="7" width="13.7109375" style="53" bestFit="1" customWidth="1"/>
    <col min="8" max="8" width="10.42578125" style="52" customWidth="1"/>
    <col min="9" max="9" width="11.85546875" style="52" customWidth="1"/>
    <col min="10" max="10" width="12.7109375" style="53" customWidth="1"/>
    <col min="11" max="13" width="11.7109375" style="53" customWidth="1"/>
    <col min="14" max="14" width="18.140625" style="53" customWidth="1"/>
    <col min="15" max="15" width="9.5703125" style="53" bestFit="1" customWidth="1"/>
    <col min="16" max="18" width="11.85546875" style="53" customWidth="1"/>
    <col min="19" max="26" width="10.7109375" style="53" customWidth="1"/>
    <col min="27" max="27" width="12.140625" style="57" customWidth="1"/>
    <col min="28" max="28" width="19.85546875" style="56" customWidth="1"/>
    <col min="29" max="29" width="9" style="53" bestFit="1" customWidth="1"/>
    <col min="30" max="30" width="9.7109375" style="53" bestFit="1" customWidth="1"/>
    <col min="31" max="31" width="12.28515625" style="53" bestFit="1" customWidth="1"/>
    <col min="32" max="32" width="19.42578125" style="53" bestFit="1" customWidth="1"/>
    <col min="33" max="16384" width="11.42578125" style="60"/>
  </cols>
  <sheetData>
    <row r="1" spans="1:32" s="58" customFormat="1" ht="27">
      <c r="A1" s="162" t="s">
        <v>50</v>
      </c>
      <c r="B1" s="162" t="s">
        <v>21</v>
      </c>
      <c r="C1" s="141" t="s">
        <v>147</v>
      </c>
      <c r="D1" s="134" t="s">
        <v>30</v>
      </c>
      <c r="E1" s="134" t="s">
        <v>20</v>
      </c>
      <c r="F1" s="134" t="s">
        <v>364</v>
      </c>
      <c r="G1" s="134" t="s">
        <v>365</v>
      </c>
      <c r="H1" s="194" t="s">
        <v>1464</v>
      </c>
      <c r="I1" s="194" t="s">
        <v>1465</v>
      </c>
      <c r="J1" s="194" t="s">
        <v>1466</v>
      </c>
      <c r="K1" s="194" t="s">
        <v>1467</v>
      </c>
      <c r="L1" s="194" t="s">
        <v>1468</v>
      </c>
      <c r="M1" s="194" t="s">
        <v>1469</v>
      </c>
      <c r="N1" s="152" t="s">
        <v>372</v>
      </c>
      <c r="O1" s="152" t="s">
        <v>267</v>
      </c>
      <c r="P1" s="152" t="s">
        <v>268</v>
      </c>
      <c r="Q1" s="91" t="s">
        <v>1480</v>
      </c>
      <c r="R1" s="91" t="s">
        <v>2030</v>
      </c>
      <c r="S1" s="152" t="s">
        <v>269</v>
      </c>
      <c r="T1" s="152" t="s">
        <v>270</v>
      </c>
      <c r="U1" s="152" t="s">
        <v>375</v>
      </c>
      <c r="V1" s="152" t="s">
        <v>379</v>
      </c>
      <c r="W1" s="152" t="s">
        <v>271</v>
      </c>
      <c r="X1" s="152" t="s">
        <v>381</v>
      </c>
      <c r="Y1" s="152" t="s">
        <v>385</v>
      </c>
      <c r="Z1" s="152" t="s">
        <v>272</v>
      </c>
      <c r="AA1" s="152" t="s">
        <v>44</v>
      </c>
      <c r="AB1" s="152" t="s">
        <v>45</v>
      </c>
      <c r="AC1" s="155" t="s">
        <v>25</v>
      </c>
      <c r="AD1" s="155" t="s">
        <v>22</v>
      </c>
      <c r="AE1" s="155" t="s">
        <v>23</v>
      </c>
      <c r="AF1" s="155" t="s">
        <v>24</v>
      </c>
    </row>
    <row r="2" spans="1:32" s="53" customFormat="1">
      <c r="A2" s="52" t="str">
        <f xml:space="preserve"> F2 &amp; " " &amp; B2</f>
        <v>Green PSR-2000 CE823HF</v>
      </c>
      <c r="B2" s="52" t="s">
        <v>1487</v>
      </c>
      <c r="C2" s="53" t="str">
        <f>IF(OR(A2=A3,A2=A1),"Dupe","--")</f>
        <v>--</v>
      </c>
      <c r="D2" s="53" t="s">
        <v>542</v>
      </c>
      <c r="E2" s="53" t="s">
        <v>544</v>
      </c>
      <c r="F2" s="52" t="s">
        <v>370</v>
      </c>
      <c r="G2" s="53" t="s">
        <v>366</v>
      </c>
      <c r="H2" s="52" t="s">
        <v>546</v>
      </c>
      <c r="I2" s="52" t="s">
        <v>547</v>
      </c>
      <c r="J2" s="53" t="s">
        <v>548</v>
      </c>
      <c r="K2" s="53" t="s">
        <v>549</v>
      </c>
      <c r="L2" s="53" t="s">
        <v>548</v>
      </c>
      <c r="M2" s="53" t="s">
        <v>548</v>
      </c>
      <c r="N2" s="53" t="s">
        <v>545</v>
      </c>
      <c r="O2" s="53" t="b">
        <v>0</v>
      </c>
      <c r="P2" s="53" t="b">
        <v>1</v>
      </c>
      <c r="R2" s="317"/>
      <c r="U2" s="317"/>
      <c r="X2" s="317"/>
      <c r="AA2" s="53">
        <v>0</v>
      </c>
      <c r="AB2" s="53">
        <v>1</v>
      </c>
      <c r="AC2" s="196" t="s">
        <v>74</v>
      </c>
      <c r="AD2" s="138"/>
      <c r="AE2" s="139"/>
      <c r="AF2" s="138"/>
    </row>
    <row r="3" spans="1:32" s="53" customFormat="1">
      <c r="A3" s="52" t="str">
        <f t="shared" ref="A3:A34" si="0" xml:space="preserve"> F3 &amp; " " &amp; B3</f>
        <v>Green PSR-2000 CE811HF</v>
      </c>
      <c r="B3" s="52" t="s">
        <v>1488</v>
      </c>
      <c r="C3" s="53" t="str">
        <f>IF(OR(A3=A4,A3=A2),"Dupe","--")</f>
        <v>--</v>
      </c>
      <c r="D3" s="53" t="s">
        <v>542</v>
      </c>
      <c r="E3" s="53" t="s">
        <v>550</v>
      </c>
      <c r="F3" s="52" t="s">
        <v>370</v>
      </c>
      <c r="G3" s="53" t="s">
        <v>366</v>
      </c>
      <c r="H3" s="52" t="s">
        <v>546</v>
      </c>
      <c r="I3" s="52" t="s">
        <v>547</v>
      </c>
      <c r="J3" s="53" t="s">
        <v>548</v>
      </c>
      <c r="K3" s="53" t="s">
        <v>549</v>
      </c>
      <c r="L3" s="53" t="s">
        <v>548</v>
      </c>
      <c r="M3" s="53" t="s">
        <v>548</v>
      </c>
      <c r="N3" s="53" t="s">
        <v>551</v>
      </c>
      <c r="O3" s="53" t="b">
        <v>1</v>
      </c>
      <c r="P3" s="53" t="b">
        <v>1</v>
      </c>
      <c r="R3" s="317">
        <v>4.4000000000000004</v>
      </c>
      <c r="U3" s="317">
        <v>4.0999999999999996</v>
      </c>
      <c r="X3" s="317">
        <v>0.02</v>
      </c>
      <c r="AA3" s="53">
        <v>0</v>
      </c>
      <c r="AB3" s="53">
        <v>1</v>
      </c>
      <c r="AC3" s="196" t="s">
        <v>74</v>
      </c>
      <c r="AD3" s="195" t="s">
        <v>582</v>
      </c>
      <c r="AE3" s="140"/>
      <c r="AF3" s="138"/>
    </row>
    <row r="4" spans="1:32" s="53" customFormat="1">
      <c r="A4" s="52" t="str">
        <f t="shared" si="0"/>
        <v>Blue PSR-2000 CE811TIBL3</v>
      </c>
      <c r="B4" s="52" t="s">
        <v>552</v>
      </c>
      <c r="C4" s="53" t="str">
        <f t="shared" ref="C4:C34" si="1">IF(OR(A4=A5,A4=A3),"Dupe","--")</f>
        <v>--</v>
      </c>
      <c r="D4" s="53" t="s">
        <v>542</v>
      </c>
      <c r="E4" s="53" t="s">
        <v>552</v>
      </c>
      <c r="F4" s="52" t="s">
        <v>554</v>
      </c>
      <c r="G4" s="53" t="s">
        <v>366</v>
      </c>
      <c r="H4" s="52" t="s">
        <v>546</v>
      </c>
      <c r="I4" s="52" t="s">
        <v>547</v>
      </c>
      <c r="J4" s="53" t="s">
        <v>548</v>
      </c>
      <c r="K4" s="53" t="s">
        <v>549</v>
      </c>
      <c r="L4" s="53" t="s">
        <v>548</v>
      </c>
      <c r="M4" s="53" t="s">
        <v>548</v>
      </c>
      <c r="N4" s="53" t="s">
        <v>553</v>
      </c>
      <c r="O4" s="53" t="b">
        <v>1</v>
      </c>
      <c r="P4" s="53" t="b">
        <v>1</v>
      </c>
      <c r="Q4" s="53">
        <v>4</v>
      </c>
      <c r="R4" s="317">
        <v>4.5999999999999996</v>
      </c>
      <c r="U4" s="317">
        <v>4.0999999999999996</v>
      </c>
      <c r="X4" s="317">
        <v>0.02</v>
      </c>
      <c r="AA4" s="53">
        <v>0</v>
      </c>
      <c r="AB4" s="53">
        <v>1</v>
      </c>
      <c r="AC4" s="196" t="s">
        <v>74</v>
      </c>
      <c r="AD4" s="195" t="s">
        <v>581</v>
      </c>
      <c r="AE4" s="140"/>
      <c r="AF4" s="138"/>
    </row>
    <row r="5" spans="1:32" s="53" customFormat="1">
      <c r="A5" s="52" t="str">
        <f t="shared" si="0"/>
        <v>Green PSR-4000 G23K</v>
      </c>
      <c r="B5" s="52" t="s">
        <v>573</v>
      </c>
      <c r="C5" s="53" t="str">
        <f t="shared" si="1"/>
        <v>--</v>
      </c>
      <c r="D5" s="53" t="s">
        <v>542</v>
      </c>
      <c r="E5" s="53" t="s">
        <v>573</v>
      </c>
      <c r="F5" s="52" t="s">
        <v>370</v>
      </c>
      <c r="G5" s="53" t="s">
        <v>366</v>
      </c>
      <c r="H5" s="52" t="s">
        <v>546</v>
      </c>
      <c r="I5" s="52" t="s">
        <v>547</v>
      </c>
      <c r="J5" s="53" t="s">
        <v>548</v>
      </c>
      <c r="K5" s="53" t="s">
        <v>548</v>
      </c>
      <c r="L5" s="53" t="s">
        <v>548</v>
      </c>
      <c r="M5" s="53" t="s">
        <v>548</v>
      </c>
      <c r="N5" s="53" t="s">
        <v>574</v>
      </c>
      <c r="O5" s="53" t="b">
        <v>1</v>
      </c>
      <c r="P5" s="53" t="b">
        <v>1</v>
      </c>
      <c r="Q5" s="53">
        <v>4.2</v>
      </c>
      <c r="R5" s="317">
        <v>4.5</v>
      </c>
      <c r="U5" s="317">
        <v>3.9</v>
      </c>
      <c r="X5" s="317">
        <v>0.02</v>
      </c>
      <c r="AA5" s="53">
        <v>0</v>
      </c>
      <c r="AB5" s="53">
        <v>30</v>
      </c>
      <c r="AC5" s="196" t="s">
        <v>74</v>
      </c>
      <c r="AD5" s="195" t="s">
        <v>585</v>
      </c>
      <c r="AE5" s="140"/>
      <c r="AF5" s="138"/>
    </row>
    <row r="6" spans="1:32">
      <c r="A6" s="52" t="str">
        <f t="shared" si="0"/>
        <v>Green PSR-4000 AM03TS</v>
      </c>
      <c r="B6" s="52" t="s">
        <v>1489</v>
      </c>
      <c r="C6" s="53" t="str">
        <f t="shared" si="1"/>
        <v>--</v>
      </c>
      <c r="D6" s="53" t="s">
        <v>542</v>
      </c>
      <c r="E6" s="53" t="s">
        <v>555</v>
      </c>
      <c r="F6" s="52" t="s">
        <v>370</v>
      </c>
      <c r="G6" s="53" t="s">
        <v>366</v>
      </c>
      <c r="H6" s="52" t="s">
        <v>546</v>
      </c>
      <c r="I6" s="52" t="s">
        <v>1475</v>
      </c>
      <c r="J6" s="53" t="s">
        <v>548</v>
      </c>
      <c r="K6" s="53" t="s">
        <v>548</v>
      </c>
      <c r="L6" s="53" t="s">
        <v>548</v>
      </c>
      <c r="M6" s="53" t="s">
        <v>548</v>
      </c>
      <c r="N6" s="53" t="s">
        <v>556</v>
      </c>
      <c r="O6" s="53" t="b">
        <v>1</v>
      </c>
      <c r="P6" s="53" t="b">
        <v>1</v>
      </c>
      <c r="Q6" s="53">
        <v>3.9</v>
      </c>
      <c r="R6" s="318" t="s">
        <v>1479</v>
      </c>
      <c r="U6" s="317">
        <v>4.2</v>
      </c>
      <c r="X6" s="317">
        <v>2.3E-2</v>
      </c>
      <c r="AA6" s="53">
        <v>0</v>
      </c>
      <c r="AB6" s="56">
        <v>1</v>
      </c>
      <c r="AC6" s="196" t="s">
        <v>74</v>
      </c>
      <c r="AD6" s="196" t="s">
        <v>591</v>
      </c>
    </row>
    <row r="7" spans="1:32">
      <c r="A7" s="52" t="str">
        <f t="shared" si="0"/>
        <v>Blue PSR-4000 BL01</v>
      </c>
      <c r="B7" s="52" t="s">
        <v>575</v>
      </c>
      <c r="C7" s="53" t="str">
        <f t="shared" si="1"/>
        <v>--</v>
      </c>
      <c r="D7" s="53" t="s">
        <v>542</v>
      </c>
      <c r="E7" s="53" t="s">
        <v>575</v>
      </c>
      <c r="F7" s="52" t="s">
        <v>554</v>
      </c>
      <c r="G7" s="53" t="s">
        <v>366</v>
      </c>
      <c r="H7" s="52" t="s">
        <v>546</v>
      </c>
      <c r="I7" s="52" t="s">
        <v>547</v>
      </c>
      <c r="J7" s="53" t="s">
        <v>548</v>
      </c>
      <c r="K7" s="53" t="s">
        <v>549</v>
      </c>
      <c r="L7" s="53" t="s">
        <v>548</v>
      </c>
      <c r="M7" s="53" t="s">
        <v>548</v>
      </c>
      <c r="N7" s="53" t="s">
        <v>576</v>
      </c>
      <c r="O7" s="53" t="b">
        <v>1</v>
      </c>
      <c r="P7" s="53" t="b">
        <v>1</v>
      </c>
      <c r="Q7" s="53">
        <v>3.8</v>
      </c>
      <c r="R7" s="317">
        <v>4.2</v>
      </c>
      <c r="U7" s="317">
        <v>4.0999999999999996</v>
      </c>
      <c r="X7" s="317">
        <v>0.02</v>
      </c>
      <c r="AA7" s="53">
        <v>0</v>
      </c>
      <c r="AB7" s="56">
        <v>20</v>
      </c>
      <c r="AC7" s="196" t="s">
        <v>74</v>
      </c>
    </row>
    <row r="8" spans="1:32">
      <c r="A8" s="52" t="str">
        <f t="shared" si="0"/>
        <v>Black PSR-4000 EG23</v>
      </c>
      <c r="B8" s="52" t="s">
        <v>577</v>
      </c>
      <c r="C8" s="53" t="str">
        <f t="shared" si="1"/>
        <v>--</v>
      </c>
      <c r="D8" s="53" t="s">
        <v>542</v>
      </c>
      <c r="E8" s="53" t="s">
        <v>577</v>
      </c>
      <c r="F8" s="52" t="s">
        <v>516</v>
      </c>
      <c r="G8" s="53" t="s">
        <v>366</v>
      </c>
      <c r="H8" s="52" t="s">
        <v>546</v>
      </c>
      <c r="I8" s="52" t="s">
        <v>547</v>
      </c>
      <c r="J8" s="53" t="s">
        <v>548</v>
      </c>
      <c r="K8" s="53" t="s">
        <v>549</v>
      </c>
      <c r="L8" s="53" t="s">
        <v>548</v>
      </c>
      <c r="M8" s="53" t="s">
        <v>548</v>
      </c>
      <c r="N8" s="53" t="s">
        <v>574</v>
      </c>
      <c r="O8" s="53" t="b">
        <v>1</v>
      </c>
      <c r="P8" s="53" t="b">
        <v>1</v>
      </c>
      <c r="Q8" s="53">
        <v>3.9</v>
      </c>
      <c r="R8" s="317"/>
      <c r="U8" s="317"/>
      <c r="X8" s="317"/>
      <c r="AA8" s="53">
        <v>0</v>
      </c>
      <c r="AB8" s="56">
        <v>20</v>
      </c>
      <c r="AC8" s="196" t="s">
        <v>74</v>
      </c>
    </row>
    <row r="9" spans="1:32">
      <c r="A9" s="52" t="str">
        <f t="shared" si="0"/>
        <v>Black PSR-4000 EG30</v>
      </c>
      <c r="B9" s="52" t="s">
        <v>578</v>
      </c>
      <c r="C9" s="53" t="str">
        <f t="shared" si="1"/>
        <v>--</v>
      </c>
      <c r="D9" s="53" t="s">
        <v>542</v>
      </c>
      <c r="E9" s="53" t="s">
        <v>578</v>
      </c>
      <c r="F9" s="52" t="s">
        <v>516</v>
      </c>
      <c r="G9" s="53" t="s">
        <v>366</v>
      </c>
      <c r="H9" s="52" t="s">
        <v>546</v>
      </c>
      <c r="I9" s="52" t="s">
        <v>1475</v>
      </c>
      <c r="J9" s="53" t="s">
        <v>548</v>
      </c>
      <c r="K9" s="53" t="s">
        <v>549</v>
      </c>
      <c r="L9" s="53" t="s">
        <v>548</v>
      </c>
      <c r="M9" s="53" t="s">
        <v>548</v>
      </c>
      <c r="N9" s="53" t="s">
        <v>574</v>
      </c>
      <c r="O9" s="53" t="b">
        <v>1</v>
      </c>
      <c r="P9" s="53" t="b">
        <v>1</v>
      </c>
      <c r="R9" s="317"/>
      <c r="U9" s="317"/>
      <c r="X9" s="317"/>
      <c r="AA9" s="53">
        <v>0</v>
      </c>
      <c r="AB9" s="56">
        <v>40</v>
      </c>
      <c r="AC9" s="196" t="s">
        <v>74</v>
      </c>
    </row>
    <row r="10" spans="1:32">
      <c r="A10" s="52" t="str">
        <f t="shared" si="0"/>
        <v>Black PSR-4000 EG70M</v>
      </c>
      <c r="B10" s="52" t="s">
        <v>557</v>
      </c>
      <c r="C10" s="53" t="str">
        <f t="shared" si="1"/>
        <v>--</v>
      </c>
      <c r="D10" s="53" t="s">
        <v>542</v>
      </c>
      <c r="E10" s="53" t="s">
        <v>557</v>
      </c>
      <c r="F10" s="52" t="s">
        <v>516</v>
      </c>
      <c r="G10" s="53" t="s">
        <v>366</v>
      </c>
      <c r="H10" s="52" t="s">
        <v>546</v>
      </c>
      <c r="I10" s="52" t="s">
        <v>1475</v>
      </c>
      <c r="J10" s="53" t="s">
        <v>548</v>
      </c>
      <c r="K10" s="53" t="s">
        <v>549</v>
      </c>
      <c r="L10" s="53" t="s">
        <v>548</v>
      </c>
      <c r="M10" s="53" t="s">
        <v>548</v>
      </c>
      <c r="N10" s="53" t="s">
        <v>558</v>
      </c>
      <c r="O10" s="53" t="b">
        <v>1</v>
      </c>
      <c r="P10" s="53" t="b">
        <v>1</v>
      </c>
      <c r="Q10" s="53">
        <v>3.4</v>
      </c>
      <c r="R10" s="317">
        <v>3.7</v>
      </c>
      <c r="U10" s="317">
        <v>3.64</v>
      </c>
      <c r="X10" s="317">
        <v>2.4E-2</v>
      </c>
      <c r="AA10" s="53">
        <v>0</v>
      </c>
      <c r="AB10" s="56">
        <v>20</v>
      </c>
      <c r="AC10" s="196" t="s">
        <v>74</v>
      </c>
      <c r="AD10" s="196" t="s">
        <v>584</v>
      </c>
    </row>
    <row r="11" spans="1:32">
      <c r="A11" s="52" t="str">
        <f t="shared" si="0"/>
        <v>Green PSR-4000 SP08T3</v>
      </c>
      <c r="B11" s="52" t="s">
        <v>559</v>
      </c>
      <c r="C11" s="53" t="str">
        <f t="shared" si="1"/>
        <v>--</v>
      </c>
      <c r="D11" s="53" t="s">
        <v>542</v>
      </c>
      <c r="E11" s="53" t="s">
        <v>559</v>
      </c>
      <c r="F11" s="52" t="s">
        <v>370</v>
      </c>
      <c r="G11" s="53" t="s">
        <v>366</v>
      </c>
      <c r="H11" s="52" t="s">
        <v>561</v>
      </c>
      <c r="I11" s="52" t="s">
        <v>547</v>
      </c>
      <c r="J11" s="53" t="s">
        <v>548</v>
      </c>
      <c r="K11" s="53" t="s">
        <v>549</v>
      </c>
      <c r="L11" s="53" t="s">
        <v>548</v>
      </c>
      <c r="M11" s="53" t="s">
        <v>548</v>
      </c>
      <c r="N11" s="53" t="s">
        <v>560</v>
      </c>
      <c r="O11" s="53" t="b">
        <v>0</v>
      </c>
      <c r="P11" s="53" t="b">
        <v>1</v>
      </c>
      <c r="Q11" s="53">
        <v>4.0999999999999996</v>
      </c>
      <c r="R11" s="317">
        <v>4.2</v>
      </c>
      <c r="U11" s="317">
        <v>3.8</v>
      </c>
      <c r="X11" s="317">
        <v>0.02</v>
      </c>
      <c r="AA11" s="53">
        <v>0</v>
      </c>
      <c r="AB11" s="56">
        <v>1</v>
      </c>
      <c r="AC11" s="196" t="s">
        <v>74</v>
      </c>
      <c r="AD11" s="196" t="s">
        <v>583</v>
      </c>
    </row>
    <row r="12" spans="1:32">
      <c r="A12" s="52" t="str">
        <f t="shared" si="0"/>
        <v>Green PSR-4000 AM02SP</v>
      </c>
      <c r="B12" s="52" t="s">
        <v>1490</v>
      </c>
      <c r="C12" s="53" t="str">
        <f t="shared" si="1"/>
        <v>--</v>
      </c>
      <c r="D12" s="53" t="s">
        <v>542</v>
      </c>
      <c r="E12" s="53" t="s">
        <v>562</v>
      </c>
      <c r="F12" s="52" t="s">
        <v>370</v>
      </c>
      <c r="G12" s="53" t="s">
        <v>366</v>
      </c>
      <c r="H12" s="52" t="s">
        <v>561</v>
      </c>
      <c r="I12" s="52" t="s">
        <v>547</v>
      </c>
      <c r="J12" s="53" t="s">
        <v>548</v>
      </c>
      <c r="K12" s="53" t="s">
        <v>549</v>
      </c>
      <c r="L12" s="53" t="s">
        <v>548</v>
      </c>
      <c r="M12" s="53" t="s">
        <v>548</v>
      </c>
      <c r="N12" s="53" t="s">
        <v>563</v>
      </c>
      <c r="O12" s="53" t="b">
        <v>1</v>
      </c>
      <c r="P12" s="53" t="b">
        <v>1</v>
      </c>
      <c r="Q12" s="53">
        <v>3.9</v>
      </c>
      <c r="R12" s="317"/>
      <c r="U12" s="317"/>
      <c r="X12" s="317"/>
      <c r="AA12" s="53">
        <v>0</v>
      </c>
      <c r="AB12" s="56">
        <v>60</v>
      </c>
      <c r="AC12" s="196" t="s">
        <v>74</v>
      </c>
    </row>
    <row r="13" spans="1:32">
      <c r="A13" s="52" t="str">
        <f t="shared" si="0"/>
        <v>Green PSR-4000 AM10SP</v>
      </c>
      <c r="B13" s="52" t="s">
        <v>579</v>
      </c>
      <c r="C13" s="53" t="str">
        <f t="shared" si="1"/>
        <v>--</v>
      </c>
      <c r="D13" s="53" t="s">
        <v>542</v>
      </c>
      <c r="E13" s="53" t="s">
        <v>579</v>
      </c>
      <c r="F13" s="52" t="s">
        <v>370</v>
      </c>
      <c r="G13" s="53" t="s">
        <v>366</v>
      </c>
      <c r="H13" s="52" t="s">
        <v>561</v>
      </c>
      <c r="I13" s="52" t="s">
        <v>547</v>
      </c>
      <c r="J13" s="53" t="s">
        <v>548</v>
      </c>
      <c r="K13" s="53" t="s">
        <v>549</v>
      </c>
      <c r="L13" s="53" t="s">
        <v>548</v>
      </c>
      <c r="M13" s="53" t="s">
        <v>548</v>
      </c>
      <c r="N13" s="53" t="s">
        <v>580</v>
      </c>
      <c r="O13" s="53" t="b">
        <v>1</v>
      </c>
      <c r="P13" s="53" t="b">
        <v>1</v>
      </c>
      <c r="Q13" s="53">
        <v>3.8</v>
      </c>
      <c r="R13" s="317"/>
      <c r="U13" s="317"/>
      <c r="X13" s="317"/>
      <c r="AA13" s="53">
        <v>0</v>
      </c>
      <c r="AB13" s="56">
        <v>60</v>
      </c>
      <c r="AC13" s="196" t="s">
        <v>74</v>
      </c>
    </row>
    <row r="14" spans="1:32">
      <c r="A14" s="52" t="str">
        <f t="shared" si="0"/>
        <v>White PSR-2000 FR603W1</v>
      </c>
      <c r="B14" s="52" t="s">
        <v>564</v>
      </c>
      <c r="C14" s="53" t="str">
        <f t="shared" si="1"/>
        <v>--</v>
      </c>
      <c r="D14" s="53" t="s">
        <v>542</v>
      </c>
      <c r="E14" s="53" t="s">
        <v>564</v>
      </c>
      <c r="F14" s="52" t="s">
        <v>369</v>
      </c>
      <c r="G14" s="53" t="s">
        <v>366</v>
      </c>
      <c r="H14" s="52" t="s">
        <v>546</v>
      </c>
      <c r="I14" s="52" t="s">
        <v>547</v>
      </c>
      <c r="N14" s="53" t="s">
        <v>615</v>
      </c>
      <c r="O14" s="53" t="b">
        <v>1</v>
      </c>
      <c r="P14" s="53" t="b">
        <v>1</v>
      </c>
      <c r="R14" s="317">
        <v>6.3</v>
      </c>
      <c r="U14" s="317">
        <v>7.23</v>
      </c>
      <c r="X14" s="317">
        <v>2.3E-2</v>
      </c>
      <c r="AA14" s="53">
        <v>0</v>
      </c>
      <c r="AB14" s="56">
        <v>10</v>
      </c>
      <c r="AC14" s="196" t="s">
        <v>74</v>
      </c>
      <c r="AD14" s="196" t="s">
        <v>588</v>
      </c>
    </row>
    <row r="15" spans="1:32">
      <c r="A15" s="52" t="str">
        <f t="shared" si="0"/>
        <v>Green PSR-4000 MH</v>
      </c>
      <c r="B15" s="52" t="s">
        <v>565</v>
      </c>
      <c r="C15" s="53" t="str">
        <f t="shared" si="1"/>
        <v>--</v>
      </c>
      <c r="D15" s="53" t="s">
        <v>542</v>
      </c>
      <c r="E15" s="53" t="s">
        <v>565</v>
      </c>
      <c r="F15" s="52" t="s">
        <v>370</v>
      </c>
      <c r="G15" s="53" t="s">
        <v>366</v>
      </c>
      <c r="H15" s="52" t="s">
        <v>546</v>
      </c>
      <c r="I15" s="52" t="s">
        <v>1474</v>
      </c>
      <c r="N15" s="53" t="s">
        <v>1472</v>
      </c>
      <c r="P15" s="53" t="b">
        <v>1</v>
      </c>
      <c r="R15" s="317"/>
      <c r="U15" s="317"/>
      <c r="X15" s="317"/>
      <c r="AA15" s="53">
        <v>0</v>
      </c>
      <c r="AB15" s="56">
        <v>20</v>
      </c>
      <c r="AC15" s="196" t="s">
        <v>74</v>
      </c>
      <c r="AD15" s="196" t="s">
        <v>586</v>
      </c>
    </row>
    <row r="16" spans="1:32">
      <c r="A16" s="52" t="str">
        <f t="shared" si="0"/>
        <v>Black PSR-2000 CE880E</v>
      </c>
      <c r="B16" s="52" t="s">
        <v>566</v>
      </c>
      <c r="C16" s="53" t="str">
        <f t="shared" si="1"/>
        <v>--</v>
      </c>
      <c r="D16" s="53" t="s">
        <v>542</v>
      </c>
      <c r="E16" s="53" t="s">
        <v>566</v>
      </c>
      <c r="F16" s="52" t="s">
        <v>516</v>
      </c>
      <c r="G16" s="53" t="s">
        <v>366</v>
      </c>
      <c r="H16" s="52" t="s">
        <v>546</v>
      </c>
      <c r="I16" s="52" t="s">
        <v>547</v>
      </c>
      <c r="N16" s="53" t="s">
        <v>1476</v>
      </c>
      <c r="P16" s="53" t="b">
        <v>1</v>
      </c>
      <c r="R16" s="317">
        <v>4.5</v>
      </c>
      <c r="U16" s="317">
        <v>4.1399999999999997</v>
      </c>
      <c r="X16" s="317">
        <v>2.4E-2</v>
      </c>
      <c r="AA16" s="53">
        <v>0</v>
      </c>
      <c r="AB16" s="56">
        <v>20</v>
      </c>
      <c r="AC16" s="196" t="s">
        <v>74</v>
      </c>
      <c r="AD16" s="196" t="s">
        <v>590</v>
      </c>
    </row>
    <row r="17" spans="1:30">
      <c r="A17" s="52" t="str">
        <f t="shared" si="0"/>
        <v>Green PSR-4000 AM05TS</v>
      </c>
      <c r="B17" s="52" t="s">
        <v>567</v>
      </c>
      <c r="C17" s="53" t="str">
        <f t="shared" si="1"/>
        <v>--</v>
      </c>
      <c r="D17" s="53" t="s">
        <v>542</v>
      </c>
      <c r="E17" s="53" t="s">
        <v>567</v>
      </c>
      <c r="F17" s="52" t="s">
        <v>370</v>
      </c>
      <c r="G17" s="53" t="s">
        <v>366</v>
      </c>
      <c r="H17" s="52" t="s">
        <v>546</v>
      </c>
      <c r="I17" s="52" t="s">
        <v>1475</v>
      </c>
      <c r="J17" s="53" t="s">
        <v>548</v>
      </c>
      <c r="K17" s="53" t="s">
        <v>548</v>
      </c>
      <c r="L17" s="53" t="s">
        <v>548</v>
      </c>
      <c r="M17" s="53" t="s">
        <v>548</v>
      </c>
      <c r="N17" s="53" t="s">
        <v>1471</v>
      </c>
      <c r="O17" s="53" t="b">
        <v>1</v>
      </c>
      <c r="P17" s="53" t="b">
        <v>1</v>
      </c>
      <c r="R17" s="317"/>
      <c r="U17" s="317"/>
      <c r="X17" s="317"/>
      <c r="AA17" s="53">
        <v>0</v>
      </c>
      <c r="AB17" s="56">
        <v>30</v>
      </c>
      <c r="AC17" s="196" t="s">
        <v>74</v>
      </c>
    </row>
    <row r="18" spans="1:30">
      <c r="A18" s="52" t="str">
        <f t="shared" si="0"/>
        <v>Green PSR-4000 AM81</v>
      </c>
      <c r="B18" s="52" t="s">
        <v>572</v>
      </c>
      <c r="C18" s="53" t="str">
        <f t="shared" si="1"/>
        <v>--</v>
      </c>
      <c r="D18" s="53" t="s">
        <v>542</v>
      </c>
      <c r="E18" s="53" t="s">
        <v>572</v>
      </c>
      <c r="F18" s="52" t="s">
        <v>370</v>
      </c>
      <c r="G18" s="53" t="s">
        <v>366</v>
      </c>
      <c r="H18" s="52" t="s">
        <v>546</v>
      </c>
      <c r="I18" s="52" t="s">
        <v>1475</v>
      </c>
      <c r="J18" s="53" t="s">
        <v>548</v>
      </c>
      <c r="K18" s="53" t="s">
        <v>548</v>
      </c>
      <c r="L18" s="53" t="s">
        <v>548</v>
      </c>
      <c r="M18" s="53" t="s">
        <v>548</v>
      </c>
      <c r="N18" s="53" t="s">
        <v>1470</v>
      </c>
      <c r="O18" s="53" t="b">
        <v>1</v>
      </c>
      <c r="P18" s="53" t="b">
        <v>1</v>
      </c>
      <c r="R18" s="317"/>
      <c r="U18" s="317"/>
      <c r="X18" s="317"/>
      <c r="AA18" s="53">
        <v>0</v>
      </c>
      <c r="AB18" s="56">
        <v>50</v>
      </c>
      <c r="AC18" s="196" t="s">
        <v>74</v>
      </c>
    </row>
    <row r="19" spans="1:30">
      <c r="A19" s="52" t="str">
        <f t="shared" si="0"/>
        <v>Green Probimer77/7179</v>
      </c>
      <c r="B19" s="52" t="s">
        <v>568</v>
      </c>
      <c r="C19" s="53" t="str">
        <f>IF(OR(A19=A20,A19=A18),"Dupe","--")</f>
        <v>--</v>
      </c>
      <c r="D19" s="53" t="s">
        <v>543</v>
      </c>
      <c r="E19" s="53" t="s">
        <v>568</v>
      </c>
      <c r="F19" s="52" t="s">
        <v>370</v>
      </c>
      <c r="G19" s="53" t="s">
        <v>366</v>
      </c>
      <c r="H19" s="52" t="s">
        <v>546</v>
      </c>
      <c r="I19" s="52" t="s">
        <v>1475</v>
      </c>
      <c r="J19" s="53" t="s">
        <v>548</v>
      </c>
      <c r="K19" s="53" t="s">
        <v>548</v>
      </c>
      <c r="L19" s="53" t="s">
        <v>548</v>
      </c>
      <c r="M19" s="53" t="s">
        <v>548</v>
      </c>
      <c r="N19" s="53" t="s">
        <v>569</v>
      </c>
      <c r="O19" s="53" t="b">
        <v>0</v>
      </c>
      <c r="Q19" s="53">
        <v>3.8</v>
      </c>
      <c r="R19" s="317"/>
      <c r="U19" s="317"/>
      <c r="X19" s="317"/>
      <c r="AA19" s="53">
        <v>0</v>
      </c>
      <c r="AB19" s="56">
        <v>1</v>
      </c>
      <c r="AC19" s="196" t="s">
        <v>74</v>
      </c>
      <c r="AD19" s="196" t="s">
        <v>587</v>
      </c>
    </row>
    <row r="20" spans="1:30">
      <c r="A20" s="52" t="str">
        <f t="shared" si="0"/>
        <v>Black SR-500 DMK20</v>
      </c>
      <c r="B20" s="52" t="s">
        <v>570</v>
      </c>
      <c r="C20" s="53" t="str">
        <f>IF(OR(A20=A22,A20=A19),"Dupe","--")</f>
        <v>--</v>
      </c>
      <c r="D20" s="53" t="s">
        <v>571</v>
      </c>
      <c r="E20" s="53" t="s">
        <v>570</v>
      </c>
      <c r="F20" s="52" t="s">
        <v>516</v>
      </c>
      <c r="G20" s="53" t="s">
        <v>366</v>
      </c>
      <c r="H20" s="52" t="s">
        <v>546</v>
      </c>
      <c r="J20" s="53" t="s">
        <v>548</v>
      </c>
      <c r="K20" s="53" t="s">
        <v>549</v>
      </c>
      <c r="L20" s="53" t="s">
        <v>548</v>
      </c>
      <c r="M20" s="53" t="s">
        <v>548</v>
      </c>
      <c r="N20" s="53" t="s">
        <v>617</v>
      </c>
      <c r="O20" s="53" t="b">
        <v>1</v>
      </c>
      <c r="R20" s="317">
        <v>4.7</v>
      </c>
      <c r="U20" s="317">
        <v>4.4000000000000004</v>
      </c>
      <c r="X20" s="317">
        <v>0.02</v>
      </c>
      <c r="AA20" s="53">
        <v>0</v>
      </c>
      <c r="AB20" s="56">
        <v>10</v>
      </c>
      <c r="AC20" s="196" t="s">
        <v>74</v>
      </c>
      <c r="AD20" s="196" t="s">
        <v>589</v>
      </c>
    </row>
    <row r="21" spans="1:30" s="53" customFormat="1">
      <c r="A21" s="321" t="str">
        <f t="shared" si="0"/>
        <v xml:space="preserve"> PSR-550B B23</v>
      </c>
      <c r="B21" s="52" t="s">
        <v>2050</v>
      </c>
      <c r="C21" s="53" t="str">
        <f>IF(OR(A21=A23,A21=A20),"Dupe","--")</f>
        <v>--</v>
      </c>
      <c r="D21" s="53" t="s">
        <v>571</v>
      </c>
      <c r="E21" s="53" t="s">
        <v>2050</v>
      </c>
      <c r="F21" s="52"/>
      <c r="G21" s="53" t="s">
        <v>366</v>
      </c>
      <c r="H21" s="52"/>
      <c r="I21" s="52"/>
      <c r="O21" s="53" t="b">
        <v>1</v>
      </c>
      <c r="R21" s="317"/>
      <c r="U21" s="317"/>
      <c r="X21" s="317"/>
      <c r="AA21" s="53">
        <v>0</v>
      </c>
      <c r="AB21" s="56">
        <v>10</v>
      </c>
      <c r="AC21" s="196" t="s">
        <v>74</v>
      </c>
      <c r="AD21" s="196"/>
    </row>
    <row r="22" spans="1:30">
      <c r="A22" s="52" t="str">
        <f t="shared" si="0"/>
        <v>Red AE1125HD</v>
      </c>
      <c r="B22" s="52" t="s">
        <v>592</v>
      </c>
      <c r="C22" s="53" t="str">
        <f>IF(OR(A22=A23,A22=A20),"Dupe","--")</f>
        <v>--</v>
      </c>
      <c r="D22" s="53" t="s">
        <v>541</v>
      </c>
      <c r="E22" s="53" t="s">
        <v>592</v>
      </c>
      <c r="F22" s="52" t="s">
        <v>593</v>
      </c>
      <c r="G22" s="366" t="s">
        <v>612</v>
      </c>
      <c r="H22" s="52" t="s">
        <v>546</v>
      </c>
      <c r="N22" s="196" t="s">
        <v>1479</v>
      </c>
      <c r="O22" s="53" t="b">
        <v>1</v>
      </c>
      <c r="R22" s="317"/>
      <c r="U22" s="317"/>
      <c r="X22" s="317"/>
      <c r="AA22" s="53">
        <v>0</v>
      </c>
      <c r="AB22" s="56">
        <v>40</v>
      </c>
      <c r="AC22" s="196" t="s">
        <v>74</v>
      </c>
    </row>
    <row r="23" spans="1:30">
      <c r="A23" s="52" t="str">
        <f t="shared" si="0"/>
        <v>Red AE1125DS</v>
      </c>
      <c r="B23" s="52" t="s">
        <v>594</v>
      </c>
      <c r="C23" s="53" t="str">
        <f t="shared" si="1"/>
        <v>--</v>
      </c>
      <c r="D23" s="53" t="s">
        <v>541</v>
      </c>
      <c r="E23" s="53" t="s">
        <v>594</v>
      </c>
      <c r="F23" s="52" t="s">
        <v>593</v>
      </c>
      <c r="G23" s="366" t="s">
        <v>612</v>
      </c>
      <c r="H23" s="52" t="s">
        <v>546</v>
      </c>
      <c r="N23" s="53" t="s">
        <v>1479</v>
      </c>
      <c r="O23" s="53" t="b">
        <v>1</v>
      </c>
      <c r="R23" s="317"/>
      <c r="U23" s="317"/>
      <c r="X23" s="317"/>
      <c r="AA23" s="53">
        <v>0</v>
      </c>
      <c r="AB23" s="56">
        <v>20</v>
      </c>
      <c r="AC23" s="196" t="s">
        <v>74</v>
      </c>
      <c r="AD23" s="196" t="s">
        <v>606</v>
      </c>
    </row>
    <row r="24" spans="1:30">
      <c r="A24" s="52" t="str">
        <f t="shared" si="0"/>
        <v>White THP-100 Z2</v>
      </c>
      <c r="B24" s="52" t="s">
        <v>595</v>
      </c>
      <c r="C24" s="53" t="str">
        <f t="shared" si="1"/>
        <v>--</v>
      </c>
      <c r="D24" s="53" t="s">
        <v>542</v>
      </c>
      <c r="E24" s="53" t="s">
        <v>595</v>
      </c>
      <c r="F24" s="52" t="s">
        <v>369</v>
      </c>
      <c r="G24" s="366" t="s">
        <v>612</v>
      </c>
      <c r="H24" s="52" t="s">
        <v>546</v>
      </c>
      <c r="N24" s="53" t="s">
        <v>1479</v>
      </c>
      <c r="O24" s="53" t="b">
        <v>0</v>
      </c>
      <c r="P24" s="53" t="b">
        <v>1</v>
      </c>
      <c r="R24" s="317"/>
      <c r="U24" s="317"/>
      <c r="X24" s="317"/>
      <c r="AA24" s="53">
        <v>0</v>
      </c>
      <c r="AB24" s="56">
        <v>1</v>
      </c>
      <c r="AC24" s="196" t="s">
        <v>74</v>
      </c>
      <c r="AD24" s="196" t="s">
        <v>604</v>
      </c>
    </row>
    <row r="25" spans="1:30">
      <c r="A25" s="52" t="str">
        <f t="shared" si="0"/>
        <v>White PHP-900IR 10FE</v>
      </c>
      <c r="B25" s="52" t="s">
        <v>596</v>
      </c>
      <c r="C25" s="53" t="str">
        <f>IF(OR(A25=A27,A25=A24),"Dupe","--")</f>
        <v>--</v>
      </c>
      <c r="D25" s="53" t="s">
        <v>597</v>
      </c>
      <c r="E25" s="53" t="s">
        <v>596</v>
      </c>
      <c r="F25" s="52" t="s">
        <v>369</v>
      </c>
      <c r="G25" s="366" t="s">
        <v>612</v>
      </c>
      <c r="H25" s="52" t="s">
        <v>546</v>
      </c>
      <c r="N25" s="53" t="s">
        <v>1479</v>
      </c>
      <c r="O25" s="53" t="b">
        <v>0</v>
      </c>
      <c r="R25" s="317"/>
      <c r="U25" s="317"/>
      <c r="X25" s="317"/>
      <c r="AA25" s="53">
        <v>0</v>
      </c>
      <c r="AB25" s="56">
        <v>40</v>
      </c>
      <c r="AC25" s="196" t="s">
        <v>74</v>
      </c>
    </row>
    <row r="26" spans="1:30">
      <c r="A26" s="52" t="str">
        <f t="shared" si="0"/>
        <v>White THP-100DX7</v>
      </c>
      <c r="B26" s="52" t="s">
        <v>602</v>
      </c>
      <c r="C26" s="53" t="str">
        <f t="shared" ref="C26" si="2">IF(OR(A26=A27,A26=A25),"Dupe","--")</f>
        <v>--</v>
      </c>
      <c r="D26" s="53" t="s">
        <v>542</v>
      </c>
      <c r="E26" s="53" t="s">
        <v>602</v>
      </c>
      <c r="F26" s="52" t="s">
        <v>369</v>
      </c>
      <c r="G26" s="366" t="s">
        <v>612</v>
      </c>
      <c r="H26" s="52" t="s">
        <v>546</v>
      </c>
      <c r="N26" s="196" t="s">
        <v>1479</v>
      </c>
      <c r="P26" s="53" t="b">
        <v>1</v>
      </c>
      <c r="R26" s="317"/>
      <c r="U26" s="317"/>
      <c r="X26" s="317"/>
      <c r="AA26" s="53">
        <v>0</v>
      </c>
      <c r="AB26" s="56">
        <v>20</v>
      </c>
      <c r="AC26" s="196" t="s">
        <v>74</v>
      </c>
      <c r="AD26" s="196" t="s">
        <v>603</v>
      </c>
    </row>
    <row r="27" spans="1:30">
      <c r="A27" s="52" t="str">
        <f t="shared" si="0"/>
        <v>Black PSR-4000 PF9</v>
      </c>
      <c r="B27" s="52" t="s">
        <v>598</v>
      </c>
      <c r="C27" s="53" t="str">
        <f>IF(OR(A27=A28,A27=A25),"Dupe","--")</f>
        <v>--</v>
      </c>
      <c r="D27" s="53" t="s">
        <v>542</v>
      </c>
      <c r="E27" s="53" t="s">
        <v>598</v>
      </c>
      <c r="F27" s="52" t="s">
        <v>516</v>
      </c>
      <c r="G27" s="365" t="s">
        <v>613</v>
      </c>
      <c r="H27" s="52" t="s">
        <v>546</v>
      </c>
      <c r="N27" s="53" t="s">
        <v>599</v>
      </c>
      <c r="O27" s="53" t="b">
        <v>1</v>
      </c>
      <c r="P27" s="53" t="b">
        <v>1</v>
      </c>
      <c r="R27" s="317"/>
      <c r="U27" s="317"/>
      <c r="X27" s="317"/>
      <c r="AA27" s="53">
        <v>0</v>
      </c>
      <c r="AB27" s="56">
        <v>30</v>
      </c>
      <c r="AC27" s="196" t="s">
        <v>74</v>
      </c>
      <c r="AD27" s="196" t="s">
        <v>605</v>
      </c>
    </row>
    <row r="28" spans="1:30">
      <c r="A28" s="52" t="str">
        <f t="shared" si="0"/>
        <v>Blue PSR-4000 PF9</v>
      </c>
      <c r="B28" s="52" t="s">
        <v>598</v>
      </c>
      <c r="C28" s="53" t="str">
        <f t="shared" si="1"/>
        <v>--</v>
      </c>
      <c r="D28" s="53" t="s">
        <v>542</v>
      </c>
      <c r="E28" s="53" t="s">
        <v>598</v>
      </c>
      <c r="F28" s="52" t="s">
        <v>554</v>
      </c>
      <c r="G28" s="365" t="s">
        <v>613</v>
      </c>
      <c r="H28" s="52" t="s">
        <v>546</v>
      </c>
      <c r="N28" s="53" t="s">
        <v>599</v>
      </c>
      <c r="O28" s="53" t="b">
        <v>1</v>
      </c>
      <c r="P28" s="53" t="b">
        <v>1</v>
      </c>
      <c r="R28" s="317"/>
      <c r="U28" s="317"/>
      <c r="X28" s="317"/>
      <c r="AA28" s="53">
        <v>0</v>
      </c>
      <c r="AB28" s="56">
        <v>20</v>
      </c>
      <c r="AC28" s="196" t="s">
        <v>74</v>
      </c>
      <c r="AD28" s="196"/>
    </row>
    <row r="29" spans="1:30">
      <c r="A29" s="52" t="str">
        <f t="shared" si="0"/>
        <v>Green PSR-4000 PF10</v>
      </c>
      <c r="B29" s="52" t="s">
        <v>600</v>
      </c>
      <c r="C29" s="53" t="str">
        <f t="shared" si="1"/>
        <v>--</v>
      </c>
      <c r="D29" s="53" t="s">
        <v>542</v>
      </c>
      <c r="E29" s="53" t="s">
        <v>600</v>
      </c>
      <c r="F29" s="52" t="s">
        <v>370</v>
      </c>
      <c r="G29" s="365" t="s">
        <v>613</v>
      </c>
      <c r="H29" s="52" t="s">
        <v>546</v>
      </c>
      <c r="N29" s="53" t="s">
        <v>601</v>
      </c>
      <c r="O29" s="53" t="b">
        <v>1</v>
      </c>
      <c r="P29" s="53" t="b">
        <v>1</v>
      </c>
      <c r="R29" s="317"/>
      <c r="U29" s="317"/>
      <c r="X29" s="317"/>
      <c r="AA29" s="53">
        <v>0</v>
      </c>
      <c r="AB29" s="56">
        <v>20</v>
      </c>
      <c r="AC29" s="196" t="s">
        <v>74</v>
      </c>
      <c r="AD29" s="196" t="s">
        <v>607</v>
      </c>
    </row>
    <row r="30" spans="1:30">
      <c r="A30" s="321" t="str">
        <f t="shared" si="0"/>
        <v>White ZSR-150 ZM-400WF</v>
      </c>
      <c r="B30" s="52" t="s">
        <v>2051</v>
      </c>
      <c r="C30" s="53" t="str">
        <f t="shared" si="1"/>
        <v>--</v>
      </c>
      <c r="D30" s="53" t="s">
        <v>542</v>
      </c>
      <c r="E30" s="53" t="s">
        <v>2051</v>
      </c>
      <c r="F30" s="52" t="s">
        <v>369</v>
      </c>
      <c r="G30" s="365" t="s">
        <v>613</v>
      </c>
      <c r="H30" s="52" t="s">
        <v>546</v>
      </c>
      <c r="N30" s="196" t="s">
        <v>1479</v>
      </c>
      <c r="P30" s="53" t="b">
        <v>1</v>
      </c>
      <c r="R30" s="317"/>
      <c r="U30" s="317"/>
      <c r="X30" s="317"/>
      <c r="AA30" s="53">
        <v>0</v>
      </c>
      <c r="AB30" s="56">
        <v>20</v>
      </c>
      <c r="AC30" s="196" t="s">
        <v>74</v>
      </c>
      <c r="AD30" s="196" t="s">
        <v>603</v>
      </c>
    </row>
    <row r="31" spans="1:30">
      <c r="A31" s="52" t="str">
        <f t="shared" si="0"/>
        <v>Yellow S-200Y ND</v>
      </c>
      <c r="B31" s="52" t="s">
        <v>608</v>
      </c>
      <c r="C31" s="53" t="str">
        <f t="shared" si="1"/>
        <v>--</v>
      </c>
      <c r="D31" s="53" t="s">
        <v>542</v>
      </c>
      <c r="E31" s="53" t="s">
        <v>608</v>
      </c>
      <c r="F31" s="52" t="s">
        <v>368</v>
      </c>
      <c r="G31" s="364" t="s">
        <v>367</v>
      </c>
      <c r="H31" s="52" t="s">
        <v>546</v>
      </c>
      <c r="N31" s="53" t="s">
        <v>616</v>
      </c>
      <c r="O31" s="53" t="b">
        <v>1</v>
      </c>
      <c r="P31" s="53" t="b">
        <v>1</v>
      </c>
      <c r="R31" s="317"/>
      <c r="U31" s="317"/>
      <c r="X31" s="317"/>
      <c r="AA31" s="53">
        <v>0</v>
      </c>
      <c r="AB31" s="56">
        <v>1</v>
      </c>
      <c r="AC31" s="196" t="s">
        <v>74</v>
      </c>
      <c r="AD31" s="196" t="s">
        <v>611</v>
      </c>
    </row>
    <row r="32" spans="1:30">
      <c r="A32" s="52" t="str">
        <f t="shared" si="0"/>
        <v>Black S-200E</v>
      </c>
      <c r="B32" s="52" t="s">
        <v>2147</v>
      </c>
      <c r="C32" s="53" t="str">
        <f t="shared" si="1"/>
        <v>--</v>
      </c>
      <c r="D32" s="53" t="s">
        <v>542</v>
      </c>
      <c r="E32" s="53" t="s">
        <v>2147</v>
      </c>
      <c r="F32" s="52" t="s">
        <v>516</v>
      </c>
      <c r="G32" s="364" t="s">
        <v>367</v>
      </c>
      <c r="H32" s="52" t="s">
        <v>546</v>
      </c>
      <c r="N32" s="53" t="s">
        <v>616</v>
      </c>
      <c r="O32" s="53" t="b">
        <v>0</v>
      </c>
      <c r="P32" s="53" t="b">
        <v>1</v>
      </c>
      <c r="R32" s="317"/>
      <c r="U32" s="317"/>
      <c r="X32" s="317"/>
      <c r="AA32" s="53">
        <v>0</v>
      </c>
      <c r="AB32" s="56">
        <v>1</v>
      </c>
      <c r="AC32" s="196" t="s">
        <v>74</v>
      </c>
      <c r="AD32" s="196" t="s">
        <v>609</v>
      </c>
    </row>
    <row r="33" spans="1:30">
      <c r="A33" s="52" t="str">
        <f t="shared" si="0"/>
        <v>White S-200W</v>
      </c>
      <c r="B33" s="52" t="s">
        <v>2148</v>
      </c>
      <c r="C33" s="53" t="str">
        <f t="shared" si="1"/>
        <v>--</v>
      </c>
      <c r="D33" s="53" t="s">
        <v>542</v>
      </c>
      <c r="E33" s="53" t="s">
        <v>2148</v>
      </c>
      <c r="F33" s="52" t="s">
        <v>369</v>
      </c>
      <c r="G33" s="364" t="s">
        <v>367</v>
      </c>
      <c r="H33" s="52" t="s">
        <v>546</v>
      </c>
      <c r="N33" s="53" t="s">
        <v>616</v>
      </c>
      <c r="O33" s="53" t="b">
        <v>1</v>
      </c>
      <c r="P33" s="53" t="b">
        <v>1</v>
      </c>
      <c r="R33" s="317"/>
      <c r="U33" s="317"/>
      <c r="X33" s="317"/>
      <c r="AA33" s="53">
        <v>0</v>
      </c>
      <c r="AB33" s="56">
        <v>1</v>
      </c>
      <c r="AC33" s="196" t="s">
        <v>74</v>
      </c>
      <c r="AD33" s="196" t="s">
        <v>610</v>
      </c>
    </row>
    <row r="34" spans="1:30">
      <c r="A34" s="52" t="str">
        <f t="shared" si="0"/>
        <v>Green S-500 FM01</v>
      </c>
      <c r="B34" s="52" t="s">
        <v>1478</v>
      </c>
      <c r="C34" s="53" t="str">
        <f t="shared" si="1"/>
        <v>--</v>
      </c>
      <c r="D34" s="53" t="s">
        <v>542</v>
      </c>
      <c r="E34" s="53" t="s">
        <v>1478</v>
      </c>
      <c r="F34" s="52" t="s">
        <v>370</v>
      </c>
      <c r="G34" s="53" t="s">
        <v>1473</v>
      </c>
      <c r="H34" s="52" t="s">
        <v>546</v>
      </c>
      <c r="N34" s="53" t="s">
        <v>1477</v>
      </c>
      <c r="P34" s="53" t="b">
        <v>1</v>
      </c>
      <c r="R34" s="317"/>
      <c r="U34" s="317"/>
      <c r="X34" s="317"/>
      <c r="AA34" s="53">
        <v>0</v>
      </c>
      <c r="AB34" s="56">
        <v>20</v>
      </c>
      <c r="AC34" s="196" t="s">
        <v>74</v>
      </c>
      <c r="AD34" s="196" t="s">
        <v>614</v>
      </c>
    </row>
    <row r="35" spans="1:30">
      <c r="A35" s="52" t="str">
        <f t="shared" ref="A35:A38" si="3" xml:space="preserve"> F35 &amp; " " &amp; B35&amp;" "&amp;D35</f>
        <v xml:space="preserve">  </v>
      </c>
    </row>
    <row r="36" spans="1:30">
      <c r="A36" s="52" t="str">
        <f t="shared" si="3"/>
        <v xml:space="preserve">  </v>
      </c>
    </row>
    <row r="37" spans="1:30">
      <c r="A37" s="52" t="str">
        <f t="shared" si="3"/>
        <v xml:space="preserve">  </v>
      </c>
    </row>
    <row r="38" spans="1:30">
      <c r="A38" s="52" t="str">
        <f t="shared" si="3"/>
        <v xml:space="preserve">  </v>
      </c>
    </row>
  </sheetData>
  <autoFilter ref="A1:AF38"/>
  <conditionalFormatting sqref="AE2:AE3">
    <cfRule type="expression" dxfId="53" priority="26" stopIfTrue="1">
      <formula>AND(COUNTIF($AD$2:$AD$3, A1)&gt;1,NOT(ISBLANK(A1)))</formula>
    </cfRule>
  </conditionalFormatting>
  <conditionalFormatting sqref="AE4:AE5">
    <cfRule type="expression" dxfId="52" priority="21" stopIfTrue="1">
      <formula>AND(COUNTIF($AD$2:$AD$3, A1)&gt;1,NOT(ISBLANK(A1)))</formula>
    </cfRule>
  </conditionalFormatting>
  <conditionalFormatting sqref="AD2:AD3">
    <cfRule type="expression" dxfId="51" priority="98" stopIfTrue="1">
      <formula>AND(COUNTIF($AD$3:$AD$4, A1)&gt;1,NOT(ISBLANK(A1)))</formula>
    </cfRule>
  </conditionalFormatting>
  <conditionalFormatting sqref="AD4:AD5">
    <cfRule type="expression" dxfId="50" priority="99" stopIfTrue="1">
      <formula>AND(COUNTIF($AD$3:$AD$4, A1)&gt;1,NOT(ISBLANK(A1)))</formula>
    </cfRule>
  </conditionalFormatting>
  <conditionalFormatting sqref="D1">
    <cfRule type="cellIs" dxfId="49" priority="5" stopIfTrue="1" operator="equal">
      <formula>"TBA"</formula>
    </cfRule>
    <cfRule type="cellIs" dxfId="48" priority="6" stopIfTrue="1" operator="equal">
      <formula>"Unknown"</formula>
    </cfRule>
  </conditionalFormatting>
  <conditionalFormatting sqref="C1">
    <cfRule type="cellIs" dxfId="47" priority="3" stopIfTrue="1" operator="equal">
      <formula>"Unknown"</formula>
    </cfRule>
  </conditionalFormatting>
  <conditionalFormatting sqref="AC1:AF1">
    <cfRule type="cellIs" dxfId="46" priority="1" stopIfTrue="1" operator="equal">
      <formula>"TBA"</formula>
    </cfRule>
    <cfRule type="cellIs" dxfId="45" priority="2" stopIfTrue="1" operator="equal">
      <formula>"Unknown"</formula>
    </cfRule>
  </conditionalFormatting>
  <dataValidations count="1">
    <dataValidation type="list" allowBlank="1" showErrorMessage="1" sqref="AC2:AC79">
      <formula1>"'false,'true"</formula1>
      <formula2>0</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D2:D36</xm:sqref>
        </x14:dataValidation>
        <x14:dataValidation type="list" allowBlank="1" showInputMessage="1" showErrorMessage="1">
          <x14:formula1>
            <xm:f>Enums!$Z$4:$Z$14</xm:f>
          </x14:formula1>
          <xm:sqref>F2:F37</xm:sqref>
        </x14:dataValidation>
        <x14:dataValidation type="list" allowBlank="1" showInputMessage="1" showErrorMessage="1">
          <x14:formula1>
            <xm:f>Enums!$X$4:$X$20</xm:f>
          </x14:formula1>
          <xm:sqref>G2:G50</xm:sqref>
        </x14:dataValidation>
        <x14:dataValidation type="list" allowBlank="1" showInputMessage="1" showErrorMessage="1">
          <x14:formula1>
            <xm:f>Enums!$L$4:$L$135</xm:f>
          </x14:formula1>
          <xm:sqref>E2:E58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J145"/>
  <sheetViews>
    <sheetView workbookViewId="0">
      <selection activeCell="H64" sqref="H64"/>
    </sheetView>
  </sheetViews>
  <sheetFormatPr defaultColWidth="49.5703125" defaultRowHeight="12.75"/>
  <cols>
    <col min="1" max="1" width="16.5703125" style="19" customWidth="1"/>
    <col min="2" max="2" width="16.42578125" style="19" customWidth="1"/>
    <col min="3" max="3" width="13.7109375" style="3" customWidth="1"/>
    <col min="4" max="4" width="9.7109375" style="3" customWidth="1"/>
    <col min="5" max="5" width="10.28515625" style="4" customWidth="1"/>
    <col min="6" max="6" width="12" style="17" customWidth="1"/>
    <col min="7" max="7" width="81.140625" style="33" customWidth="1"/>
    <col min="8" max="16384" width="49.5703125" style="21"/>
  </cols>
  <sheetData>
    <row r="1" spans="1:10" ht="33.75" customHeight="1">
      <c r="A1" s="5" t="s">
        <v>94</v>
      </c>
      <c r="B1" s="5" t="s">
        <v>21</v>
      </c>
      <c r="C1" s="5" t="s">
        <v>25</v>
      </c>
      <c r="D1" s="5" t="s">
        <v>79</v>
      </c>
      <c r="E1" s="5" t="s">
        <v>96</v>
      </c>
      <c r="F1" s="5" t="s">
        <v>28</v>
      </c>
      <c r="G1" s="5" t="s">
        <v>97</v>
      </c>
      <c r="H1" s="20"/>
      <c r="I1" s="20"/>
      <c r="J1" s="20"/>
    </row>
    <row r="2" spans="1:10" s="25" customFormat="1" ht="16.149999999999999" customHeight="1">
      <c r="A2" s="22" t="str">
        <f>B2</f>
        <v>0.20 mm</v>
      </c>
      <c r="B2" s="70" t="str">
        <f>FIXED(E2,2) &amp; " mm"</f>
        <v>0.20 mm</v>
      </c>
      <c r="C2" s="8" t="s">
        <v>74</v>
      </c>
      <c r="D2" s="71" t="s">
        <v>537</v>
      </c>
      <c r="E2" s="10">
        <v>0.2</v>
      </c>
      <c r="F2" s="10" t="s">
        <v>95</v>
      </c>
      <c r="G2" s="22" t="s">
        <v>99</v>
      </c>
      <c r="H2" s="23"/>
      <c r="I2" s="24"/>
      <c r="J2" s="24"/>
    </row>
    <row r="3" spans="1:10" s="25" customFormat="1" ht="16.149999999999999" customHeight="1">
      <c r="A3" s="22" t="str">
        <f>B3</f>
        <v>0.25 mm</v>
      </c>
      <c r="B3" s="70" t="str">
        <f>FIXED(E3,2) &amp; " mm"</f>
        <v>0.25 mm</v>
      </c>
      <c r="C3" s="8" t="s">
        <v>74</v>
      </c>
      <c r="D3" s="71" t="s">
        <v>537</v>
      </c>
      <c r="E3" s="10">
        <v>0.25</v>
      </c>
      <c r="F3" s="10" t="s">
        <v>95</v>
      </c>
      <c r="G3" s="22" t="s">
        <v>99</v>
      </c>
      <c r="H3" s="23"/>
      <c r="I3" s="24"/>
      <c r="J3" s="24"/>
    </row>
    <row r="4" spans="1:10" s="25" customFormat="1" ht="16.149999999999999" customHeight="1">
      <c r="A4" s="22" t="str">
        <f t="shared" ref="A4:A67" si="0">B4</f>
        <v>0.30 mm</v>
      </c>
      <c r="B4" s="70" t="str">
        <f t="shared" ref="B4:B64" si="1">FIXED(E4,2) &amp; " mm"</f>
        <v>0.30 mm</v>
      </c>
      <c r="C4" s="8" t="s">
        <v>74</v>
      </c>
      <c r="D4" s="71" t="s">
        <v>537</v>
      </c>
      <c r="E4" s="10">
        <v>0.3</v>
      </c>
      <c r="F4" s="10" t="s">
        <v>95</v>
      </c>
      <c r="G4" s="22" t="s">
        <v>99</v>
      </c>
      <c r="H4" s="23"/>
      <c r="I4" s="24"/>
      <c r="J4" s="24"/>
    </row>
    <row r="5" spans="1:10" s="25" customFormat="1" ht="16.149999999999999" customHeight="1">
      <c r="A5" s="22" t="str">
        <f t="shared" si="0"/>
        <v>0.35 mm</v>
      </c>
      <c r="B5" s="70" t="str">
        <f t="shared" si="1"/>
        <v>0.35 mm</v>
      </c>
      <c r="C5" s="8" t="s">
        <v>74</v>
      </c>
      <c r="D5" s="71" t="s">
        <v>537</v>
      </c>
      <c r="E5" s="10">
        <v>0.35</v>
      </c>
      <c r="F5" s="10" t="s">
        <v>95</v>
      </c>
      <c r="G5" s="22" t="s">
        <v>99</v>
      </c>
      <c r="H5" s="23"/>
      <c r="I5" s="24"/>
      <c r="J5" s="24"/>
    </row>
    <row r="6" spans="1:10" s="25" customFormat="1" ht="16.149999999999999" customHeight="1">
      <c r="A6" s="22" t="str">
        <f t="shared" si="0"/>
        <v>0.40 mm</v>
      </c>
      <c r="B6" s="70" t="str">
        <f t="shared" si="1"/>
        <v>0.40 mm</v>
      </c>
      <c r="C6" s="8" t="s">
        <v>74</v>
      </c>
      <c r="D6" s="71" t="s">
        <v>537</v>
      </c>
      <c r="E6" s="10">
        <v>0.4</v>
      </c>
      <c r="F6" s="10" t="s">
        <v>95</v>
      </c>
      <c r="G6" s="22" t="s">
        <v>99</v>
      </c>
      <c r="H6" s="23"/>
      <c r="I6" s="24"/>
      <c r="J6" s="24"/>
    </row>
    <row r="7" spans="1:10" s="25" customFormat="1" ht="16.149999999999999" customHeight="1">
      <c r="A7" s="22" t="str">
        <f t="shared" si="0"/>
        <v>0.45 mm</v>
      </c>
      <c r="B7" s="70" t="str">
        <f t="shared" si="1"/>
        <v>0.45 mm</v>
      </c>
      <c r="C7" s="8" t="s">
        <v>74</v>
      </c>
      <c r="D7" s="71" t="s">
        <v>537</v>
      </c>
      <c r="E7" s="10">
        <v>0.45</v>
      </c>
      <c r="F7" s="10" t="s">
        <v>95</v>
      </c>
      <c r="G7" s="22" t="s">
        <v>99</v>
      </c>
      <c r="H7" s="23"/>
      <c r="I7" s="24"/>
      <c r="J7" s="24"/>
    </row>
    <row r="8" spans="1:10" s="25" customFormat="1" ht="16.149999999999999" customHeight="1">
      <c r="A8" s="22" t="str">
        <f t="shared" si="0"/>
        <v>0.50 mm</v>
      </c>
      <c r="B8" s="70" t="str">
        <f t="shared" si="1"/>
        <v>0.50 mm</v>
      </c>
      <c r="C8" s="8" t="s">
        <v>74</v>
      </c>
      <c r="D8" s="71" t="s">
        <v>537</v>
      </c>
      <c r="E8" s="10">
        <v>0.5</v>
      </c>
      <c r="F8" s="10" t="s">
        <v>95</v>
      </c>
      <c r="G8" s="22" t="s">
        <v>99</v>
      </c>
      <c r="H8" s="23"/>
      <c r="I8" s="24"/>
      <c r="J8" s="24"/>
    </row>
    <row r="9" spans="1:10" s="25" customFormat="1" ht="16.149999999999999" customHeight="1">
      <c r="A9" s="22" t="str">
        <f t="shared" si="0"/>
        <v>0.55 mm</v>
      </c>
      <c r="B9" s="70" t="str">
        <f t="shared" si="1"/>
        <v>0.55 mm</v>
      </c>
      <c r="C9" s="8" t="s">
        <v>74</v>
      </c>
      <c r="D9" s="71" t="s">
        <v>537</v>
      </c>
      <c r="E9" s="10">
        <v>0.55000000000000004</v>
      </c>
      <c r="F9" s="10" t="s">
        <v>95</v>
      </c>
      <c r="G9" s="22" t="s">
        <v>99</v>
      </c>
      <c r="H9" s="23"/>
      <c r="I9" s="24"/>
      <c r="J9" s="24"/>
    </row>
    <row r="10" spans="1:10" s="25" customFormat="1" ht="16.149999999999999" customHeight="1">
      <c r="A10" s="22" t="str">
        <f t="shared" si="0"/>
        <v>0.60 mm</v>
      </c>
      <c r="B10" s="70" t="str">
        <f t="shared" si="1"/>
        <v>0.60 mm</v>
      </c>
      <c r="C10" s="8" t="s">
        <v>74</v>
      </c>
      <c r="D10" s="71" t="s">
        <v>537</v>
      </c>
      <c r="E10" s="10">
        <v>0.6</v>
      </c>
      <c r="F10" s="10" t="s">
        <v>95</v>
      </c>
      <c r="G10" s="22" t="s">
        <v>99</v>
      </c>
      <c r="H10" s="23"/>
      <c r="I10" s="24"/>
      <c r="J10" s="24"/>
    </row>
    <row r="11" spans="1:10" ht="16.149999999999999" customHeight="1">
      <c r="A11" s="22" t="str">
        <f t="shared" si="0"/>
        <v>0.65 mm</v>
      </c>
      <c r="B11" s="70" t="str">
        <f t="shared" si="1"/>
        <v>0.65 mm</v>
      </c>
      <c r="C11" s="8" t="s">
        <v>74</v>
      </c>
      <c r="D11" s="71" t="s">
        <v>537</v>
      </c>
      <c r="E11" s="10">
        <v>0.65</v>
      </c>
      <c r="F11" s="10" t="s">
        <v>95</v>
      </c>
      <c r="G11" s="22" t="s">
        <v>99</v>
      </c>
      <c r="H11" s="26"/>
      <c r="I11" s="27"/>
      <c r="J11" s="27"/>
    </row>
    <row r="12" spans="1:10" ht="16.149999999999999" customHeight="1">
      <c r="A12" s="22" t="str">
        <f t="shared" si="0"/>
        <v>0.70 mm</v>
      </c>
      <c r="B12" s="70" t="str">
        <f t="shared" si="1"/>
        <v>0.70 mm</v>
      </c>
      <c r="C12" s="8" t="s">
        <v>74</v>
      </c>
      <c r="D12" s="71" t="s">
        <v>537</v>
      </c>
      <c r="E12" s="10">
        <v>0.7</v>
      </c>
      <c r="F12" s="10" t="s">
        <v>95</v>
      </c>
      <c r="G12" s="22" t="s">
        <v>99</v>
      </c>
      <c r="H12" s="28"/>
      <c r="I12" s="29"/>
      <c r="J12" s="27"/>
    </row>
    <row r="13" spans="1:10" ht="16.149999999999999" customHeight="1">
      <c r="A13" s="22" t="str">
        <f t="shared" si="0"/>
        <v>0.75 mm</v>
      </c>
      <c r="B13" s="70" t="str">
        <f t="shared" si="1"/>
        <v>0.75 mm</v>
      </c>
      <c r="C13" s="8" t="s">
        <v>74</v>
      </c>
      <c r="D13" s="71" t="s">
        <v>537</v>
      </c>
      <c r="E13" s="10">
        <v>0.75</v>
      </c>
      <c r="F13" s="10" t="s">
        <v>95</v>
      </c>
      <c r="G13" s="22" t="s">
        <v>99</v>
      </c>
      <c r="H13" s="28"/>
      <c r="I13" s="29"/>
      <c r="J13" s="27"/>
    </row>
    <row r="14" spans="1:10" ht="16.149999999999999" customHeight="1">
      <c r="A14" s="22" t="str">
        <f t="shared" si="0"/>
        <v>0.80 mm</v>
      </c>
      <c r="B14" s="70" t="str">
        <f t="shared" si="1"/>
        <v>0.80 mm</v>
      </c>
      <c r="C14" s="8" t="s">
        <v>74</v>
      </c>
      <c r="D14" s="71" t="s">
        <v>537</v>
      </c>
      <c r="E14" s="10">
        <v>0.8</v>
      </c>
      <c r="F14" s="10" t="s">
        <v>95</v>
      </c>
      <c r="G14" s="22" t="s">
        <v>99</v>
      </c>
      <c r="H14" s="28"/>
      <c r="I14" s="29"/>
      <c r="J14" s="27"/>
    </row>
    <row r="15" spans="1:10" ht="16.149999999999999" customHeight="1">
      <c r="A15" s="22" t="str">
        <f t="shared" si="0"/>
        <v>0.85 mm</v>
      </c>
      <c r="B15" s="70" t="str">
        <f t="shared" si="1"/>
        <v>0.85 mm</v>
      </c>
      <c r="C15" s="8" t="s">
        <v>74</v>
      </c>
      <c r="D15" s="71" t="s">
        <v>537</v>
      </c>
      <c r="E15" s="10">
        <v>0.85</v>
      </c>
      <c r="F15" s="10" t="s">
        <v>95</v>
      </c>
      <c r="G15" s="22" t="s">
        <v>99</v>
      </c>
      <c r="H15" s="28"/>
      <c r="I15" s="29"/>
      <c r="J15" s="27"/>
    </row>
    <row r="16" spans="1:10" ht="16.149999999999999" customHeight="1">
      <c r="A16" s="22" t="str">
        <f t="shared" si="0"/>
        <v>0.90 mm</v>
      </c>
      <c r="B16" s="70" t="str">
        <f t="shared" si="1"/>
        <v>0.90 mm</v>
      </c>
      <c r="C16" s="8" t="s">
        <v>74</v>
      </c>
      <c r="D16" s="71" t="s">
        <v>537</v>
      </c>
      <c r="E16" s="10">
        <v>0.9</v>
      </c>
      <c r="F16" s="10" t="s">
        <v>95</v>
      </c>
      <c r="G16" s="22" t="s">
        <v>99</v>
      </c>
      <c r="H16" s="28"/>
      <c r="I16" s="30"/>
      <c r="J16" s="29"/>
    </row>
    <row r="17" spans="1:10" ht="16.149999999999999" customHeight="1">
      <c r="A17" s="22" t="str">
        <f t="shared" si="0"/>
        <v>0.95 mm</v>
      </c>
      <c r="B17" s="70" t="str">
        <f t="shared" si="1"/>
        <v>0.95 mm</v>
      </c>
      <c r="C17" s="8" t="s">
        <v>74</v>
      </c>
      <c r="D17" s="71" t="s">
        <v>537</v>
      </c>
      <c r="E17" s="10">
        <v>0.95</v>
      </c>
      <c r="F17" s="10" t="s">
        <v>95</v>
      </c>
      <c r="G17" s="22" t="s">
        <v>99</v>
      </c>
      <c r="H17" s="28"/>
      <c r="I17" s="30"/>
      <c r="J17" s="29"/>
    </row>
    <row r="18" spans="1:10" ht="16.149999999999999" customHeight="1">
      <c r="A18" s="22" t="str">
        <f t="shared" si="0"/>
        <v>1.00 mm</v>
      </c>
      <c r="B18" s="70" t="str">
        <f t="shared" si="1"/>
        <v>1.00 mm</v>
      </c>
      <c r="C18" s="8" t="s">
        <v>74</v>
      </c>
      <c r="D18" s="71" t="s">
        <v>537</v>
      </c>
      <c r="E18" s="10">
        <v>1</v>
      </c>
      <c r="F18" s="10" t="s">
        <v>95</v>
      </c>
      <c r="G18" s="22" t="s">
        <v>99</v>
      </c>
      <c r="H18" s="28"/>
      <c r="I18" s="27"/>
      <c r="J18" s="29"/>
    </row>
    <row r="19" spans="1:10" ht="16.149999999999999" customHeight="1">
      <c r="A19" s="22" t="str">
        <f t="shared" si="0"/>
        <v>1.05 mm</v>
      </c>
      <c r="B19" s="70" t="str">
        <f t="shared" si="1"/>
        <v>1.05 mm</v>
      </c>
      <c r="C19" s="8" t="s">
        <v>74</v>
      </c>
      <c r="D19" s="71" t="s">
        <v>537</v>
      </c>
      <c r="E19" s="10">
        <v>1.05</v>
      </c>
      <c r="F19" s="10" t="s">
        <v>95</v>
      </c>
      <c r="G19" s="22" t="s">
        <v>99</v>
      </c>
      <c r="H19" s="28"/>
      <c r="I19" s="27"/>
      <c r="J19" s="29"/>
    </row>
    <row r="20" spans="1:10" ht="16.149999999999999" customHeight="1">
      <c r="A20" s="22" t="str">
        <f t="shared" si="0"/>
        <v>1.10 mm</v>
      </c>
      <c r="B20" s="70" t="str">
        <f t="shared" si="1"/>
        <v>1.10 mm</v>
      </c>
      <c r="C20" s="8" t="s">
        <v>74</v>
      </c>
      <c r="D20" s="71" t="s">
        <v>537</v>
      </c>
      <c r="E20" s="10">
        <v>1.1000000000000001</v>
      </c>
      <c r="F20" s="10" t="s">
        <v>95</v>
      </c>
      <c r="G20" s="22" t="s">
        <v>99</v>
      </c>
      <c r="H20" s="28"/>
      <c r="I20" s="27"/>
      <c r="J20" s="29"/>
    </row>
    <row r="21" spans="1:10" ht="16.149999999999999" customHeight="1">
      <c r="A21" s="22" t="str">
        <f t="shared" si="0"/>
        <v>1.15 mm</v>
      </c>
      <c r="B21" s="70" t="str">
        <f t="shared" si="1"/>
        <v>1.15 mm</v>
      </c>
      <c r="C21" s="8" t="s">
        <v>74</v>
      </c>
      <c r="D21" s="71" t="s">
        <v>537</v>
      </c>
      <c r="E21" s="10">
        <v>1.1499999999999999</v>
      </c>
      <c r="F21" s="10" t="s">
        <v>95</v>
      </c>
      <c r="G21" s="22" t="s">
        <v>99</v>
      </c>
      <c r="H21" s="28"/>
      <c r="I21" s="27"/>
      <c r="J21" s="29"/>
    </row>
    <row r="22" spans="1:10" ht="16.149999999999999" customHeight="1">
      <c r="A22" s="22" t="str">
        <f t="shared" si="0"/>
        <v>1.20 mm</v>
      </c>
      <c r="B22" s="70" t="str">
        <f t="shared" si="1"/>
        <v>1.20 mm</v>
      </c>
      <c r="C22" s="8" t="s">
        <v>74</v>
      </c>
      <c r="D22" s="71" t="s">
        <v>537</v>
      </c>
      <c r="E22" s="10">
        <v>1.2</v>
      </c>
      <c r="F22" s="10" t="s">
        <v>95</v>
      </c>
      <c r="G22" s="22" t="s">
        <v>99</v>
      </c>
      <c r="H22" s="28"/>
      <c r="I22" s="27"/>
      <c r="J22" s="29"/>
    </row>
    <row r="23" spans="1:10" ht="16.149999999999999" customHeight="1">
      <c r="A23" s="22" t="str">
        <f t="shared" si="0"/>
        <v>1.25 mm</v>
      </c>
      <c r="B23" s="70" t="str">
        <f t="shared" si="1"/>
        <v>1.25 mm</v>
      </c>
      <c r="C23" s="8" t="s">
        <v>74</v>
      </c>
      <c r="D23" s="71" t="s">
        <v>537</v>
      </c>
      <c r="E23" s="10">
        <v>1.25</v>
      </c>
      <c r="F23" s="10" t="s">
        <v>95</v>
      </c>
      <c r="G23" s="22" t="s">
        <v>99</v>
      </c>
      <c r="H23" s="28"/>
      <c r="I23" s="27"/>
      <c r="J23" s="29"/>
    </row>
    <row r="24" spans="1:10" ht="16.149999999999999" customHeight="1">
      <c r="A24" s="22" t="str">
        <f t="shared" si="0"/>
        <v>1.30 mm</v>
      </c>
      <c r="B24" s="70" t="str">
        <f t="shared" si="1"/>
        <v>1.30 mm</v>
      </c>
      <c r="C24" s="8" t="s">
        <v>74</v>
      </c>
      <c r="D24" s="71" t="s">
        <v>537</v>
      </c>
      <c r="E24" s="10">
        <v>1.3</v>
      </c>
      <c r="F24" s="10" t="s">
        <v>95</v>
      </c>
      <c r="G24" s="22" t="s">
        <v>99</v>
      </c>
      <c r="H24" s="28"/>
      <c r="I24" s="27"/>
      <c r="J24" s="29"/>
    </row>
    <row r="25" spans="1:10" ht="16.149999999999999" customHeight="1">
      <c r="A25" s="22" t="str">
        <f t="shared" si="0"/>
        <v>1.35 mm</v>
      </c>
      <c r="B25" s="70" t="str">
        <f t="shared" si="1"/>
        <v>1.35 mm</v>
      </c>
      <c r="C25" s="8" t="s">
        <v>74</v>
      </c>
      <c r="D25" s="71" t="s">
        <v>537</v>
      </c>
      <c r="E25" s="10">
        <v>1.35</v>
      </c>
      <c r="F25" s="10" t="s">
        <v>95</v>
      </c>
      <c r="G25" s="22" t="s">
        <v>99</v>
      </c>
      <c r="H25" s="28"/>
      <c r="I25" s="27"/>
      <c r="J25" s="29"/>
    </row>
    <row r="26" spans="1:10" ht="16.149999999999999" customHeight="1">
      <c r="A26" s="22" t="str">
        <f t="shared" si="0"/>
        <v>1.40 mm</v>
      </c>
      <c r="B26" s="70" t="str">
        <f t="shared" si="1"/>
        <v>1.40 mm</v>
      </c>
      <c r="C26" s="8" t="s">
        <v>74</v>
      </c>
      <c r="D26" s="71" t="s">
        <v>537</v>
      </c>
      <c r="E26" s="10">
        <v>1.4</v>
      </c>
      <c r="F26" s="10" t="s">
        <v>95</v>
      </c>
      <c r="G26" s="22" t="s">
        <v>99</v>
      </c>
      <c r="H26" s="28"/>
      <c r="I26" s="27"/>
      <c r="J26" s="29"/>
    </row>
    <row r="27" spans="1:10" ht="16.149999999999999" customHeight="1">
      <c r="A27" s="22" t="str">
        <f t="shared" si="0"/>
        <v>1.45 mm</v>
      </c>
      <c r="B27" s="70" t="str">
        <f t="shared" si="1"/>
        <v>1.45 mm</v>
      </c>
      <c r="C27" s="8" t="s">
        <v>74</v>
      </c>
      <c r="D27" s="71" t="s">
        <v>537</v>
      </c>
      <c r="E27" s="10">
        <v>1.45</v>
      </c>
      <c r="F27" s="10" t="s">
        <v>95</v>
      </c>
      <c r="G27" s="22" t="s">
        <v>99</v>
      </c>
      <c r="H27" s="28"/>
      <c r="I27" s="27"/>
      <c r="J27" s="29"/>
    </row>
    <row r="28" spans="1:10" ht="16.149999999999999" customHeight="1">
      <c r="A28" s="22" t="str">
        <f t="shared" si="0"/>
        <v>1.50 mm</v>
      </c>
      <c r="B28" s="70" t="str">
        <f t="shared" si="1"/>
        <v>1.50 mm</v>
      </c>
      <c r="C28" s="8" t="s">
        <v>74</v>
      </c>
      <c r="D28" s="71" t="s">
        <v>537</v>
      </c>
      <c r="E28" s="10">
        <v>1.5</v>
      </c>
      <c r="F28" s="10" t="s">
        <v>95</v>
      </c>
      <c r="G28" s="22" t="s">
        <v>99</v>
      </c>
      <c r="H28" s="28"/>
      <c r="I28" s="27"/>
      <c r="J28" s="29"/>
    </row>
    <row r="29" spans="1:10" ht="16.149999999999999" customHeight="1">
      <c r="A29" s="22" t="str">
        <f t="shared" si="0"/>
        <v>1.55 mm</v>
      </c>
      <c r="B29" s="70" t="str">
        <f t="shared" si="1"/>
        <v>1.55 mm</v>
      </c>
      <c r="C29" s="8" t="s">
        <v>74</v>
      </c>
      <c r="D29" s="71" t="s">
        <v>537</v>
      </c>
      <c r="E29" s="10">
        <v>1.55</v>
      </c>
      <c r="F29" s="10" t="s">
        <v>95</v>
      </c>
      <c r="G29" s="22" t="s">
        <v>99</v>
      </c>
      <c r="H29" s="28"/>
      <c r="I29" s="27"/>
      <c r="J29" s="29"/>
    </row>
    <row r="30" spans="1:10" ht="16.149999999999999" customHeight="1">
      <c r="A30" s="22" t="str">
        <f t="shared" si="0"/>
        <v>1.60 mm</v>
      </c>
      <c r="B30" s="70" t="str">
        <f t="shared" si="1"/>
        <v>1.60 mm</v>
      </c>
      <c r="C30" s="8" t="s">
        <v>74</v>
      </c>
      <c r="D30" s="71" t="s">
        <v>537</v>
      </c>
      <c r="E30" s="10">
        <v>1.6</v>
      </c>
      <c r="F30" s="10" t="s">
        <v>95</v>
      </c>
      <c r="G30" s="22" t="s">
        <v>99</v>
      </c>
      <c r="H30" s="28"/>
      <c r="I30" s="27"/>
      <c r="J30" s="29"/>
    </row>
    <row r="31" spans="1:10" ht="16.149999999999999" customHeight="1">
      <c r="A31" s="22" t="str">
        <f t="shared" si="0"/>
        <v>1.65 mm</v>
      </c>
      <c r="B31" s="70" t="str">
        <f t="shared" si="1"/>
        <v>1.65 mm</v>
      </c>
      <c r="C31" s="8" t="s">
        <v>74</v>
      </c>
      <c r="D31" s="71" t="s">
        <v>537</v>
      </c>
      <c r="E31" s="10">
        <v>1.65</v>
      </c>
      <c r="F31" s="10" t="s">
        <v>95</v>
      </c>
      <c r="G31" s="22" t="s">
        <v>99</v>
      </c>
      <c r="H31" s="28"/>
      <c r="I31" s="27"/>
      <c r="J31" s="29"/>
    </row>
    <row r="32" spans="1:10" ht="16.149999999999999" customHeight="1">
      <c r="A32" s="22" t="str">
        <f t="shared" si="0"/>
        <v>1.70 mm</v>
      </c>
      <c r="B32" s="70" t="str">
        <f t="shared" si="1"/>
        <v>1.70 mm</v>
      </c>
      <c r="C32" s="8" t="s">
        <v>74</v>
      </c>
      <c r="D32" s="71" t="s">
        <v>537</v>
      </c>
      <c r="E32" s="10">
        <v>1.7</v>
      </c>
      <c r="F32" s="10" t="s">
        <v>95</v>
      </c>
      <c r="G32" s="22" t="s">
        <v>99</v>
      </c>
      <c r="H32" s="28"/>
      <c r="I32" s="27"/>
      <c r="J32" s="29"/>
    </row>
    <row r="33" spans="1:10" ht="16.149999999999999" customHeight="1">
      <c r="A33" s="22" t="str">
        <f t="shared" si="0"/>
        <v>1.75 mm</v>
      </c>
      <c r="B33" s="70" t="str">
        <f t="shared" si="1"/>
        <v>1.75 mm</v>
      </c>
      <c r="C33" s="8" t="s">
        <v>74</v>
      </c>
      <c r="D33" s="71" t="s">
        <v>537</v>
      </c>
      <c r="E33" s="10">
        <v>1.75</v>
      </c>
      <c r="F33" s="10" t="s">
        <v>95</v>
      </c>
      <c r="G33" s="22" t="s">
        <v>99</v>
      </c>
      <c r="H33" s="28"/>
      <c r="I33" s="27"/>
      <c r="J33" s="29"/>
    </row>
    <row r="34" spans="1:10" ht="16.149999999999999" customHeight="1">
      <c r="A34" s="22" t="str">
        <f t="shared" si="0"/>
        <v>1.80 mm</v>
      </c>
      <c r="B34" s="70" t="str">
        <f t="shared" si="1"/>
        <v>1.80 mm</v>
      </c>
      <c r="C34" s="8" t="s">
        <v>74</v>
      </c>
      <c r="D34" s="71" t="s">
        <v>537</v>
      </c>
      <c r="E34" s="10">
        <v>1.8</v>
      </c>
      <c r="F34" s="10" t="s">
        <v>95</v>
      </c>
      <c r="G34" s="22" t="s">
        <v>99</v>
      </c>
      <c r="H34" s="28"/>
      <c r="I34" s="27"/>
      <c r="J34" s="29"/>
    </row>
    <row r="35" spans="1:10" ht="16.149999999999999" customHeight="1">
      <c r="A35" s="22" t="str">
        <f t="shared" si="0"/>
        <v>1.85 mm</v>
      </c>
      <c r="B35" s="70" t="str">
        <f t="shared" si="1"/>
        <v>1.85 mm</v>
      </c>
      <c r="C35" s="8" t="s">
        <v>74</v>
      </c>
      <c r="D35" s="71" t="s">
        <v>537</v>
      </c>
      <c r="E35" s="10">
        <v>1.85</v>
      </c>
      <c r="F35" s="10" t="s">
        <v>95</v>
      </c>
      <c r="G35" s="22" t="s">
        <v>99</v>
      </c>
      <c r="H35" s="28"/>
      <c r="I35" s="27"/>
      <c r="J35" s="29"/>
    </row>
    <row r="36" spans="1:10" ht="16.149999999999999" customHeight="1">
      <c r="A36" s="22" t="str">
        <f t="shared" si="0"/>
        <v>1.90 mm</v>
      </c>
      <c r="B36" s="70" t="str">
        <f t="shared" si="1"/>
        <v>1.90 mm</v>
      </c>
      <c r="C36" s="8" t="s">
        <v>74</v>
      </c>
      <c r="D36" s="71" t="s">
        <v>537</v>
      </c>
      <c r="E36" s="10">
        <v>1.9</v>
      </c>
      <c r="F36" s="10" t="s">
        <v>95</v>
      </c>
      <c r="G36" s="22" t="s">
        <v>99</v>
      </c>
      <c r="H36" s="28"/>
      <c r="I36" s="27"/>
      <c r="J36" s="29"/>
    </row>
    <row r="37" spans="1:10" ht="16.149999999999999" customHeight="1">
      <c r="A37" s="22" t="str">
        <f t="shared" si="0"/>
        <v>1.95 mm</v>
      </c>
      <c r="B37" s="70" t="str">
        <f t="shared" si="1"/>
        <v>1.95 mm</v>
      </c>
      <c r="C37" s="8" t="s">
        <v>74</v>
      </c>
      <c r="D37" s="71" t="s">
        <v>537</v>
      </c>
      <c r="E37" s="10">
        <v>1.95</v>
      </c>
      <c r="F37" s="10" t="s">
        <v>95</v>
      </c>
      <c r="G37" s="22" t="s">
        <v>99</v>
      </c>
      <c r="H37" s="28"/>
      <c r="I37" s="27"/>
      <c r="J37" s="29"/>
    </row>
    <row r="38" spans="1:10" ht="16.149999999999999" customHeight="1">
      <c r="A38" s="22" t="str">
        <f t="shared" si="0"/>
        <v>2.00 mm</v>
      </c>
      <c r="B38" s="70" t="str">
        <f t="shared" si="1"/>
        <v>2.00 mm</v>
      </c>
      <c r="C38" s="8" t="s">
        <v>74</v>
      </c>
      <c r="D38" s="71" t="s">
        <v>537</v>
      </c>
      <c r="E38" s="10">
        <v>2</v>
      </c>
      <c r="F38" s="10" t="s">
        <v>95</v>
      </c>
      <c r="G38" s="22" t="s">
        <v>99</v>
      </c>
      <c r="H38" s="28"/>
      <c r="I38" s="27"/>
      <c r="J38" s="29"/>
    </row>
    <row r="39" spans="1:10" ht="16.149999999999999" customHeight="1">
      <c r="A39" s="22" t="str">
        <f t="shared" si="0"/>
        <v>2.05 mm</v>
      </c>
      <c r="B39" s="70" t="str">
        <f t="shared" si="1"/>
        <v>2.05 mm</v>
      </c>
      <c r="C39" s="8" t="s">
        <v>74</v>
      </c>
      <c r="D39" s="71" t="s">
        <v>537</v>
      </c>
      <c r="E39" s="10">
        <v>2.0499999999999998</v>
      </c>
      <c r="F39" s="10" t="s">
        <v>95</v>
      </c>
      <c r="G39" s="22" t="s">
        <v>99</v>
      </c>
      <c r="H39" s="28"/>
      <c r="I39" s="27"/>
      <c r="J39" s="27"/>
    </row>
    <row r="40" spans="1:10" ht="16.149999999999999" customHeight="1">
      <c r="A40" s="22" t="str">
        <f t="shared" si="0"/>
        <v>2.10 mm</v>
      </c>
      <c r="B40" s="70" t="str">
        <f t="shared" si="1"/>
        <v>2.10 mm</v>
      </c>
      <c r="C40" s="8" t="s">
        <v>74</v>
      </c>
      <c r="D40" s="71" t="s">
        <v>537</v>
      </c>
      <c r="E40" s="10">
        <v>2.1</v>
      </c>
      <c r="F40" s="10" t="s">
        <v>95</v>
      </c>
      <c r="G40" s="22" t="s">
        <v>99</v>
      </c>
      <c r="H40" s="31"/>
      <c r="I40" s="32"/>
      <c r="J40" s="32"/>
    </row>
    <row r="41" spans="1:10" ht="16.149999999999999" customHeight="1">
      <c r="A41" s="22" t="str">
        <f t="shared" si="0"/>
        <v>2.15 mm</v>
      </c>
      <c r="B41" s="70" t="str">
        <f t="shared" si="1"/>
        <v>2.15 mm</v>
      </c>
      <c r="C41" s="8" t="s">
        <v>74</v>
      </c>
      <c r="D41" s="71" t="s">
        <v>537</v>
      </c>
      <c r="E41" s="10">
        <v>2.15</v>
      </c>
      <c r="F41" s="10" t="s">
        <v>95</v>
      </c>
      <c r="G41" s="22" t="s">
        <v>99</v>
      </c>
      <c r="H41" s="31"/>
    </row>
    <row r="42" spans="1:10" ht="16.149999999999999" customHeight="1">
      <c r="A42" s="22" t="str">
        <f t="shared" si="0"/>
        <v>2.20 mm</v>
      </c>
      <c r="B42" s="70" t="str">
        <f t="shared" si="1"/>
        <v>2.20 mm</v>
      </c>
      <c r="C42" s="8" t="s">
        <v>74</v>
      </c>
      <c r="D42" s="71" t="s">
        <v>537</v>
      </c>
      <c r="E42" s="10">
        <v>2.2000000000000002</v>
      </c>
      <c r="F42" s="10" t="s">
        <v>95</v>
      </c>
      <c r="G42" s="22" t="s">
        <v>99</v>
      </c>
      <c r="H42" s="31"/>
    </row>
    <row r="43" spans="1:10" ht="16.149999999999999" customHeight="1">
      <c r="A43" s="22" t="str">
        <f t="shared" si="0"/>
        <v>2.25 mm</v>
      </c>
      <c r="B43" s="70" t="str">
        <f t="shared" si="1"/>
        <v>2.25 mm</v>
      </c>
      <c r="C43" s="8" t="s">
        <v>74</v>
      </c>
      <c r="D43" s="71" t="s">
        <v>537</v>
      </c>
      <c r="E43" s="10">
        <v>2.25</v>
      </c>
      <c r="F43" s="10" t="s">
        <v>95</v>
      </c>
      <c r="G43" s="22" t="s">
        <v>99</v>
      </c>
      <c r="H43" s="31"/>
    </row>
    <row r="44" spans="1:10" ht="16.149999999999999" customHeight="1">
      <c r="A44" s="22" t="str">
        <f t="shared" si="0"/>
        <v>2.30 mm</v>
      </c>
      <c r="B44" s="70" t="str">
        <f t="shared" si="1"/>
        <v>2.30 mm</v>
      </c>
      <c r="C44" s="8" t="s">
        <v>74</v>
      </c>
      <c r="D44" s="71" t="s">
        <v>537</v>
      </c>
      <c r="E44" s="10">
        <v>2.2999999999999998</v>
      </c>
      <c r="F44" s="10" t="s">
        <v>95</v>
      </c>
      <c r="G44" s="22" t="s">
        <v>99</v>
      </c>
      <c r="H44" s="31"/>
    </row>
    <row r="45" spans="1:10" ht="16.149999999999999" customHeight="1">
      <c r="A45" s="22" t="str">
        <f t="shared" si="0"/>
        <v>2.35 mm</v>
      </c>
      <c r="B45" s="70" t="str">
        <f t="shared" si="1"/>
        <v>2.35 mm</v>
      </c>
      <c r="C45" s="8" t="s">
        <v>74</v>
      </c>
      <c r="D45" s="71" t="s">
        <v>537</v>
      </c>
      <c r="E45" s="10">
        <v>2.35</v>
      </c>
      <c r="F45" s="10" t="s">
        <v>95</v>
      </c>
      <c r="G45" s="22" t="s">
        <v>99</v>
      </c>
      <c r="H45" s="31"/>
    </row>
    <row r="46" spans="1:10" ht="16.149999999999999" customHeight="1">
      <c r="A46" s="22" t="str">
        <f t="shared" si="0"/>
        <v>2.40 mm</v>
      </c>
      <c r="B46" s="70" t="str">
        <f t="shared" si="1"/>
        <v>2.40 mm</v>
      </c>
      <c r="C46" s="8" t="s">
        <v>74</v>
      </c>
      <c r="D46" s="71" t="s">
        <v>537</v>
      </c>
      <c r="E46" s="10">
        <v>2.4</v>
      </c>
      <c r="F46" s="10" t="s">
        <v>95</v>
      </c>
      <c r="G46" s="22" t="s">
        <v>99</v>
      </c>
      <c r="H46" s="31"/>
    </row>
    <row r="47" spans="1:10" ht="16.149999999999999" customHeight="1">
      <c r="A47" s="22" t="str">
        <f t="shared" si="0"/>
        <v>2.45 mm</v>
      </c>
      <c r="B47" s="70" t="str">
        <f t="shared" si="1"/>
        <v>2.45 mm</v>
      </c>
      <c r="C47" s="8" t="s">
        <v>74</v>
      </c>
      <c r="D47" s="71" t="s">
        <v>537</v>
      </c>
      <c r="E47" s="10">
        <v>2.4500000000000002</v>
      </c>
      <c r="F47" s="10" t="s">
        <v>95</v>
      </c>
      <c r="G47" s="22" t="s">
        <v>99</v>
      </c>
      <c r="H47" s="31"/>
    </row>
    <row r="48" spans="1:10" ht="16.149999999999999" customHeight="1">
      <c r="A48" s="22" t="str">
        <f t="shared" si="0"/>
        <v>2.50 mm</v>
      </c>
      <c r="B48" s="70" t="str">
        <f t="shared" si="1"/>
        <v>2.50 mm</v>
      </c>
      <c r="C48" s="8" t="s">
        <v>74</v>
      </c>
      <c r="D48" s="71" t="s">
        <v>537</v>
      </c>
      <c r="E48" s="10">
        <v>2.5</v>
      </c>
      <c r="F48" s="10" t="s">
        <v>95</v>
      </c>
      <c r="G48" s="22" t="s">
        <v>99</v>
      </c>
      <c r="H48" s="31"/>
    </row>
    <row r="49" spans="1:8" ht="16.149999999999999" customHeight="1">
      <c r="A49" s="22" t="str">
        <f t="shared" si="0"/>
        <v>2.55 mm</v>
      </c>
      <c r="B49" s="70" t="str">
        <f t="shared" si="1"/>
        <v>2.55 mm</v>
      </c>
      <c r="C49" s="8" t="s">
        <v>74</v>
      </c>
      <c r="D49" s="71" t="s">
        <v>537</v>
      </c>
      <c r="E49" s="10">
        <v>2.5499999999999998</v>
      </c>
      <c r="F49" s="10" t="s">
        <v>95</v>
      </c>
      <c r="G49" s="22" t="s">
        <v>99</v>
      </c>
      <c r="H49" s="31"/>
    </row>
    <row r="50" spans="1:8" ht="16.149999999999999" customHeight="1">
      <c r="A50" s="22" t="str">
        <f t="shared" si="0"/>
        <v>2.60 mm</v>
      </c>
      <c r="B50" s="70" t="str">
        <f t="shared" si="1"/>
        <v>2.60 mm</v>
      </c>
      <c r="C50" s="8" t="s">
        <v>74</v>
      </c>
      <c r="D50" s="71" t="s">
        <v>537</v>
      </c>
      <c r="E50" s="10">
        <v>2.6</v>
      </c>
      <c r="F50" s="10" t="s">
        <v>95</v>
      </c>
      <c r="G50" s="22" t="s">
        <v>99</v>
      </c>
      <c r="H50" s="31"/>
    </row>
    <row r="51" spans="1:8" ht="16.149999999999999" customHeight="1">
      <c r="A51" s="22" t="str">
        <f t="shared" si="0"/>
        <v>2.65 mm</v>
      </c>
      <c r="B51" s="70" t="str">
        <f t="shared" si="1"/>
        <v>2.65 mm</v>
      </c>
      <c r="C51" s="8" t="s">
        <v>74</v>
      </c>
      <c r="D51" s="71" t="s">
        <v>537</v>
      </c>
      <c r="E51" s="10">
        <v>2.65</v>
      </c>
      <c r="F51" s="10" t="s">
        <v>95</v>
      </c>
      <c r="G51" s="22" t="s">
        <v>99</v>
      </c>
      <c r="H51" s="31"/>
    </row>
    <row r="52" spans="1:8" ht="16.149999999999999" customHeight="1">
      <c r="A52" s="22" t="str">
        <f t="shared" si="0"/>
        <v>2.70 mm</v>
      </c>
      <c r="B52" s="70" t="str">
        <f t="shared" si="1"/>
        <v>2.70 mm</v>
      </c>
      <c r="C52" s="8" t="s">
        <v>74</v>
      </c>
      <c r="D52" s="71" t="s">
        <v>537</v>
      </c>
      <c r="E52" s="10">
        <v>2.7</v>
      </c>
      <c r="F52" s="10" t="s">
        <v>95</v>
      </c>
      <c r="G52" s="22" t="s">
        <v>99</v>
      </c>
      <c r="H52" s="31"/>
    </row>
    <row r="53" spans="1:8" ht="16.149999999999999" customHeight="1">
      <c r="A53" s="22" t="str">
        <f t="shared" si="0"/>
        <v>2.75 mm</v>
      </c>
      <c r="B53" s="70" t="str">
        <f t="shared" si="1"/>
        <v>2.75 mm</v>
      </c>
      <c r="C53" s="8" t="s">
        <v>74</v>
      </c>
      <c r="D53" s="71" t="s">
        <v>537</v>
      </c>
      <c r="E53" s="10">
        <v>2.75</v>
      </c>
      <c r="F53" s="10" t="s">
        <v>95</v>
      </c>
      <c r="G53" s="22" t="s">
        <v>99</v>
      </c>
      <c r="H53" s="31"/>
    </row>
    <row r="54" spans="1:8" ht="16.149999999999999" customHeight="1">
      <c r="A54" s="22" t="str">
        <f t="shared" si="0"/>
        <v>2.80 mm</v>
      </c>
      <c r="B54" s="70" t="str">
        <f t="shared" si="1"/>
        <v>2.80 mm</v>
      </c>
      <c r="C54" s="8" t="s">
        <v>74</v>
      </c>
      <c r="D54" s="71" t="s">
        <v>537</v>
      </c>
      <c r="E54" s="10">
        <v>2.8</v>
      </c>
      <c r="F54" s="10" t="s">
        <v>95</v>
      </c>
      <c r="G54" s="22" t="s">
        <v>99</v>
      </c>
      <c r="H54" s="31"/>
    </row>
    <row r="55" spans="1:8" ht="16.149999999999999" customHeight="1">
      <c r="A55" s="22" t="str">
        <f t="shared" si="0"/>
        <v>2.85 mm</v>
      </c>
      <c r="B55" s="70" t="str">
        <f t="shared" si="1"/>
        <v>2.85 mm</v>
      </c>
      <c r="C55" s="8" t="s">
        <v>74</v>
      </c>
      <c r="D55" s="71" t="s">
        <v>537</v>
      </c>
      <c r="E55" s="10">
        <v>2.85</v>
      </c>
      <c r="F55" s="10" t="s">
        <v>95</v>
      </c>
      <c r="G55" s="22" t="s">
        <v>99</v>
      </c>
      <c r="H55" s="31"/>
    </row>
    <row r="56" spans="1:8" ht="16.149999999999999" customHeight="1">
      <c r="A56" s="22" t="str">
        <f t="shared" si="0"/>
        <v>2.90 mm</v>
      </c>
      <c r="B56" s="70" t="str">
        <f t="shared" si="1"/>
        <v>2.90 mm</v>
      </c>
      <c r="C56" s="8" t="s">
        <v>74</v>
      </c>
      <c r="D56" s="71" t="s">
        <v>537</v>
      </c>
      <c r="E56" s="10">
        <v>2.9</v>
      </c>
      <c r="F56" s="10" t="s">
        <v>95</v>
      </c>
      <c r="G56" s="22" t="s">
        <v>99</v>
      </c>
      <c r="H56" s="31"/>
    </row>
    <row r="57" spans="1:8" ht="16.149999999999999" customHeight="1">
      <c r="A57" s="22" t="str">
        <f t="shared" si="0"/>
        <v>2.95 mm</v>
      </c>
      <c r="B57" s="70" t="str">
        <f t="shared" si="1"/>
        <v>2.95 mm</v>
      </c>
      <c r="C57" s="8" t="s">
        <v>74</v>
      </c>
      <c r="D57" s="71" t="s">
        <v>537</v>
      </c>
      <c r="E57" s="10">
        <v>2.95</v>
      </c>
      <c r="F57" s="10" t="s">
        <v>95</v>
      </c>
      <c r="G57" s="22" t="s">
        <v>99</v>
      </c>
      <c r="H57" s="31"/>
    </row>
    <row r="58" spans="1:8" ht="16.149999999999999" customHeight="1">
      <c r="A58" s="22" t="str">
        <f t="shared" si="0"/>
        <v>3.00 mm</v>
      </c>
      <c r="B58" s="70" t="str">
        <f t="shared" si="1"/>
        <v>3.00 mm</v>
      </c>
      <c r="C58" s="8" t="s">
        <v>74</v>
      </c>
      <c r="D58" s="71" t="s">
        <v>537</v>
      </c>
      <c r="E58" s="10">
        <v>3</v>
      </c>
      <c r="F58" s="10" t="s">
        <v>95</v>
      </c>
      <c r="G58" s="22" t="s">
        <v>99</v>
      </c>
      <c r="H58" s="31"/>
    </row>
    <row r="59" spans="1:8" ht="16.149999999999999" customHeight="1">
      <c r="A59" s="22" t="str">
        <f t="shared" si="0"/>
        <v>3.05 mm</v>
      </c>
      <c r="B59" s="70" t="str">
        <f t="shared" si="1"/>
        <v>3.05 mm</v>
      </c>
      <c r="C59" s="8" t="s">
        <v>74</v>
      </c>
      <c r="D59" s="71" t="s">
        <v>537</v>
      </c>
      <c r="E59" s="10">
        <v>3.05</v>
      </c>
      <c r="F59" s="10" t="s">
        <v>95</v>
      </c>
      <c r="G59" s="22" t="s">
        <v>99</v>
      </c>
      <c r="H59" s="31"/>
    </row>
    <row r="60" spans="1:8" ht="16.149999999999999" customHeight="1">
      <c r="A60" s="22" t="str">
        <f t="shared" si="0"/>
        <v>3.10 mm</v>
      </c>
      <c r="B60" s="70" t="str">
        <f t="shared" si="1"/>
        <v>3.10 mm</v>
      </c>
      <c r="C60" s="8" t="s">
        <v>74</v>
      </c>
      <c r="D60" s="71" t="s">
        <v>537</v>
      </c>
      <c r="E60" s="10">
        <v>3.1</v>
      </c>
      <c r="F60" s="10" t="s">
        <v>95</v>
      </c>
      <c r="G60" s="22" t="s">
        <v>99</v>
      </c>
      <c r="H60" s="31"/>
    </row>
    <row r="61" spans="1:8" ht="16.149999999999999" customHeight="1">
      <c r="A61" s="22" t="str">
        <f t="shared" si="0"/>
        <v>3.125 mm</v>
      </c>
      <c r="B61" s="70" t="str">
        <f>FIXED(E61,3) &amp; " mm"</f>
        <v>3.125 mm</v>
      </c>
      <c r="C61" s="8" t="s">
        <v>74</v>
      </c>
      <c r="D61" s="71" t="s">
        <v>537</v>
      </c>
      <c r="E61" s="10">
        <v>3.125</v>
      </c>
      <c r="F61" s="10" t="s">
        <v>95</v>
      </c>
      <c r="G61" s="22" t="s">
        <v>99</v>
      </c>
      <c r="H61" s="31"/>
    </row>
    <row r="62" spans="1:8" ht="16.149999999999999" customHeight="1">
      <c r="A62" s="22" t="str">
        <f t="shared" si="0"/>
        <v>3.15 mm</v>
      </c>
      <c r="B62" s="70" t="str">
        <f t="shared" si="1"/>
        <v>3.15 mm</v>
      </c>
      <c r="C62" s="8" t="s">
        <v>74</v>
      </c>
      <c r="D62" s="71" t="s">
        <v>537</v>
      </c>
      <c r="E62" s="10">
        <v>3.15</v>
      </c>
      <c r="F62" s="10" t="s">
        <v>95</v>
      </c>
      <c r="G62" s="22" t="s">
        <v>99</v>
      </c>
      <c r="H62" s="31"/>
    </row>
    <row r="63" spans="1:8" ht="16.149999999999999" customHeight="1">
      <c r="A63" s="22" t="str">
        <f t="shared" si="0"/>
        <v>3.18 mm</v>
      </c>
      <c r="B63" s="70" t="str">
        <f t="shared" si="1"/>
        <v>3.18 mm</v>
      </c>
      <c r="C63" s="8" t="s">
        <v>74</v>
      </c>
      <c r="D63" s="71" t="s">
        <v>537</v>
      </c>
      <c r="E63" s="10">
        <v>3.1749999999999998</v>
      </c>
      <c r="F63" s="10" t="s">
        <v>95</v>
      </c>
      <c r="G63" s="22" t="s">
        <v>99</v>
      </c>
      <c r="H63" s="31"/>
    </row>
    <row r="64" spans="1:8" ht="16.149999999999999" customHeight="1">
      <c r="A64" s="22" t="str">
        <f t="shared" si="0"/>
        <v>3.20 mm</v>
      </c>
      <c r="B64" s="70" t="str">
        <f t="shared" si="1"/>
        <v>3.20 mm</v>
      </c>
      <c r="C64" s="8" t="s">
        <v>74</v>
      </c>
      <c r="D64" s="71" t="s">
        <v>537</v>
      </c>
      <c r="E64" s="10">
        <v>3.2</v>
      </c>
      <c r="F64" s="10" t="s">
        <v>95</v>
      </c>
      <c r="G64" s="22" t="s">
        <v>99</v>
      </c>
      <c r="H64" s="31"/>
    </row>
    <row r="65" spans="1:8" ht="16.149999999999999" customHeight="1">
      <c r="A65" s="22" t="str">
        <f t="shared" si="0"/>
        <v>3.25 mm</v>
      </c>
      <c r="B65" s="70" t="str">
        <f>FIXED(E65,2) &amp; " mm"</f>
        <v>3.25 mm</v>
      </c>
      <c r="C65" s="8" t="s">
        <v>74</v>
      </c>
      <c r="D65" s="71" t="s">
        <v>537</v>
      </c>
      <c r="E65" s="10">
        <v>3.25</v>
      </c>
      <c r="F65" s="10" t="s">
        <v>95</v>
      </c>
      <c r="G65" s="22" t="s">
        <v>99</v>
      </c>
      <c r="H65" s="31"/>
    </row>
    <row r="66" spans="1:8" ht="16.350000000000001" customHeight="1">
      <c r="A66" s="22" t="str">
        <f t="shared" si="0"/>
        <v>3.30 mm</v>
      </c>
      <c r="B66" s="70" t="str">
        <f t="shared" ref="B66:B127" si="2">FIXED(E66,2) &amp; " mm"</f>
        <v>3.30 mm</v>
      </c>
      <c r="C66" s="8" t="s">
        <v>74</v>
      </c>
      <c r="D66" s="71" t="s">
        <v>537</v>
      </c>
      <c r="E66" s="10">
        <v>3.3</v>
      </c>
      <c r="F66" s="10" t="s">
        <v>95</v>
      </c>
      <c r="G66" s="22" t="s">
        <v>99</v>
      </c>
      <c r="H66" s="31"/>
    </row>
    <row r="67" spans="1:8" ht="16.350000000000001" customHeight="1">
      <c r="A67" s="22" t="str">
        <f t="shared" si="0"/>
        <v>3.35 mm</v>
      </c>
      <c r="B67" s="70" t="str">
        <f t="shared" si="2"/>
        <v>3.35 mm</v>
      </c>
      <c r="C67" s="8" t="s">
        <v>74</v>
      </c>
      <c r="D67" s="71" t="s">
        <v>537</v>
      </c>
      <c r="E67" s="10">
        <v>3.35</v>
      </c>
      <c r="F67" s="10" t="s">
        <v>95</v>
      </c>
      <c r="G67" s="22" t="s">
        <v>99</v>
      </c>
      <c r="H67" s="31"/>
    </row>
    <row r="68" spans="1:8" ht="16.350000000000001" customHeight="1">
      <c r="A68" s="22" t="str">
        <f t="shared" ref="A68:A127" si="3">B68</f>
        <v>3.40 mm</v>
      </c>
      <c r="B68" s="70" t="str">
        <f t="shared" si="2"/>
        <v>3.40 mm</v>
      </c>
      <c r="C68" s="8" t="s">
        <v>74</v>
      </c>
      <c r="D68" s="71" t="s">
        <v>537</v>
      </c>
      <c r="E68" s="10">
        <v>3.4</v>
      </c>
      <c r="F68" s="10" t="s">
        <v>95</v>
      </c>
      <c r="G68" s="22" t="s">
        <v>99</v>
      </c>
      <c r="H68" s="31"/>
    </row>
    <row r="69" spans="1:8" ht="16.350000000000001" customHeight="1">
      <c r="A69" s="22" t="str">
        <f t="shared" si="3"/>
        <v>3.45 mm</v>
      </c>
      <c r="B69" s="70" t="str">
        <f t="shared" si="2"/>
        <v>3.45 mm</v>
      </c>
      <c r="C69" s="8" t="s">
        <v>74</v>
      </c>
      <c r="D69" s="71" t="s">
        <v>537</v>
      </c>
      <c r="E69" s="10">
        <v>3.45</v>
      </c>
      <c r="F69" s="10" t="s">
        <v>95</v>
      </c>
      <c r="G69" s="22" t="s">
        <v>99</v>
      </c>
      <c r="H69" s="31"/>
    </row>
    <row r="70" spans="1:8" ht="16.350000000000001" customHeight="1">
      <c r="A70" s="22" t="str">
        <f t="shared" si="3"/>
        <v>3.50 mm</v>
      </c>
      <c r="B70" s="70" t="str">
        <f t="shared" si="2"/>
        <v>3.50 mm</v>
      </c>
      <c r="C70" s="8" t="s">
        <v>74</v>
      </c>
      <c r="D70" s="71" t="s">
        <v>537</v>
      </c>
      <c r="E70" s="10">
        <v>3.5</v>
      </c>
      <c r="F70" s="10" t="s">
        <v>95</v>
      </c>
      <c r="G70" s="22" t="s">
        <v>99</v>
      </c>
      <c r="H70" s="31"/>
    </row>
    <row r="71" spans="1:8" ht="16.350000000000001" customHeight="1">
      <c r="A71" s="22" t="str">
        <f t="shared" si="3"/>
        <v>3.55 mm</v>
      </c>
      <c r="B71" s="70" t="str">
        <f t="shared" si="2"/>
        <v>3.55 mm</v>
      </c>
      <c r="C71" s="8" t="s">
        <v>74</v>
      </c>
      <c r="D71" s="71" t="s">
        <v>537</v>
      </c>
      <c r="E71" s="10">
        <v>3.55</v>
      </c>
      <c r="F71" s="10" t="s">
        <v>95</v>
      </c>
      <c r="G71" s="22" t="s">
        <v>99</v>
      </c>
      <c r="H71" s="31"/>
    </row>
    <row r="72" spans="1:8" ht="16.350000000000001" customHeight="1">
      <c r="A72" s="22" t="str">
        <f t="shared" si="3"/>
        <v>3.60 mm</v>
      </c>
      <c r="B72" s="70" t="str">
        <f t="shared" si="2"/>
        <v>3.60 mm</v>
      </c>
      <c r="C72" s="8" t="s">
        <v>74</v>
      </c>
      <c r="D72" s="71" t="s">
        <v>537</v>
      </c>
      <c r="E72" s="10">
        <v>3.6</v>
      </c>
      <c r="F72" s="10" t="s">
        <v>95</v>
      </c>
      <c r="G72" s="22" t="s">
        <v>99</v>
      </c>
      <c r="H72" s="31"/>
    </row>
    <row r="73" spans="1:8" ht="16.350000000000001" customHeight="1">
      <c r="A73" s="22" t="str">
        <f t="shared" si="3"/>
        <v>3.65 mm</v>
      </c>
      <c r="B73" s="70" t="str">
        <f t="shared" si="2"/>
        <v>3.65 mm</v>
      </c>
      <c r="C73" s="8" t="s">
        <v>74</v>
      </c>
      <c r="D73" s="71" t="s">
        <v>537</v>
      </c>
      <c r="E73" s="10">
        <v>3.65</v>
      </c>
      <c r="F73" s="10" t="s">
        <v>95</v>
      </c>
      <c r="G73" s="22" t="s">
        <v>99</v>
      </c>
      <c r="H73" s="31"/>
    </row>
    <row r="74" spans="1:8" ht="16.350000000000001" customHeight="1">
      <c r="A74" s="22" t="str">
        <f t="shared" si="3"/>
        <v>3.70 mm</v>
      </c>
      <c r="B74" s="70" t="str">
        <f t="shared" si="2"/>
        <v>3.70 mm</v>
      </c>
      <c r="C74" s="8" t="s">
        <v>74</v>
      </c>
      <c r="D74" s="71" t="s">
        <v>537</v>
      </c>
      <c r="E74" s="10">
        <v>3.7</v>
      </c>
      <c r="F74" s="10" t="s">
        <v>95</v>
      </c>
      <c r="G74" s="22" t="s">
        <v>99</v>
      </c>
      <c r="H74" s="31"/>
    </row>
    <row r="75" spans="1:8" ht="16.350000000000001" customHeight="1">
      <c r="A75" s="22" t="str">
        <f t="shared" si="3"/>
        <v>3.75 mm</v>
      </c>
      <c r="B75" s="70" t="str">
        <f t="shared" si="2"/>
        <v>3.75 mm</v>
      </c>
      <c r="C75" s="8" t="s">
        <v>74</v>
      </c>
      <c r="D75" s="71" t="s">
        <v>537</v>
      </c>
      <c r="E75" s="10">
        <v>3.75</v>
      </c>
      <c r="F75" s="10" t="s">
        <v>95</v>
      </c>
      <c r="G75" s="22" t="s">
        <v>99</v>
      </c>
      <c r="H75" s="31"/>
    </row>
    <row r="76" spans="1:8" ht="16.350000000000001" customHeight="1">
      <c r="A76" s="22" t="str">
        <f t="shared" si="3"/>
        <v>3.80 mm</v>
      </c>
      <c r="B76" s="70" t="str">
        <f t="shared" si="2"/>
        <v>3.80 mm</v>
      </c>
      <c r="C76" s="8" t="s">
        <v>74</v>
      </c>
      <c r="D76" s="71" t="s">
        <v>537</v>
      </c>
      <c r="E76" s="10">
        <v>3.8</v>
      </c>
      <c r="F76" s="10" t="s">
        <v>95</v>
      </c>
      <c r="G76" s="22" t="s">
        <v>99</v>
      </c>
      <c r="H76" s="31"/>
    </row>
    <row r="77" spans="1:8" ht="16.350000000000001" customHeight="1">
      <c r="A77" s="22" t="str">
        <f t="shared" si="3"/>
        <v>3.85 mm</v>
      </c>
      <c r="B77" s="70" t="str">
        <f t="shared" si="2"/>
        <v>3.85 mm</v>
      </c>
      <c r="C77" s="8" t="s">
        <v>74</v>
      </c>
      <c r="D77" s="71" t="s">
        <v>537</v>
      </c>
      <c r="E77" s="10">
        <v>3.85</v>
      </c>
      <c r="F77" s="10" t="s">
        <v>95</v>
      </c>
      <c r="G77" s="22" t="s">
        <v>99</v>
      </c>
      <c r="H77" s="31"/>
    </row>
    <row r="78" spans="1:8" ht="16.350000000000001" customHeight="1">
      <c r="A78" s="22" t="str">
        <f t="shared" si="3"/>
        <v>3.90 mm</v>
      </c>
      <c r="B78" s="70" t="str">
        <f t="shared" si="2"/>
        <v>3.90 mm</v>
      </c>
      <c r="C78" s="8" t="s">
        <v>74</v>
      </c>
      <c r="D78" s="71" t="s">
        <v>537</v>
      </c>
      <c r="E78" s="10">
        <v>3.9</v>
      </c>
      <c r="F78" s="10" t="s">
        <v>95</v>
      </c>
      <c r="G78" s="22" t="s">
        <v>99</v>
      </c>
      <c r="H78" s="31"/>
    </row>
    <row r="79" spans="1:8" ht="16.350000000000001" customHeight="1">
      <c r="A79" s="22" t="str">
        <f t="shared" si="3"/>
        <v>3.95 mm</v>
      </c>
      <c r="B79" s="70" t="str">
        <f t="shared" si="2"/>
        <v>3.95 mm</v>
      </c>
      <c r="C79" s="8" t="s">
        <v>74</v>
      </c>
      <c r="D79" s="71" t="s">
        <v>537</v>
      </c>
      <c r="E79" s="10">
        <v>3.95</v>
      </c>
      <c r="F79" s="10" t="s">
        <v>95</v>
      </c>
      <c r="G79" s="22" t="s">
        <v>99</v>
      </c>
      <c r="H79" s="31"/>
    </row>
    <row r="80" spans="1:8" ht="16.350000000000001" customHeight="1">
      <c r="A80" s="22" t="str">
        <f t="shared" si="3"/>
        <v>4.00 mm</v>
      </c>
      <c r="B80" s="70" t="str">
        <f t="shared" si="2"/>
        <v>4.00 mm</v>
      </c>
      <c r="C80" s="8" t="s">
        <v>74</v>
      </c>
      <c r="D80" s="71" t="s">
        <v>537</v>
      </c>
      <c r="E80" s="10">
        <v>4</v>
      </c>
      <c r="F80" s="10" t="s">
        <v>95</v>
      </c>
      <c r="G80" s="22" t="s">
        <v>99</v>
      </c>
      <c r="H80" s="31"/>
    </row>
    <row r="81" spans="1:8" ht="16.350000000000001" customHeight="1">
      <c r="A81" s="22" t="str">
        <f t="shared" si="3"/>
        <v>4.05 mm</v>
      </c>
      <c r="B81" s="70" t="str">
        <f t="shared" si="2"/>
        <v>4.05 mm</v>
      </c>
      <c r="C81" s="8" t="s">
        <v>74</v>
      </c>
      <c r="D81" s="71" t="s">
        <v>537</v>
      </c>
      <c r="E81" s="10">
        <v>4.05</v>
      </c>
      <c r="F81" s="10" t="s">
        <v>95</v>
      </c>
      <c r="G81" s="22" t="s">
        <v>99</v>
      </c>
      <c r="H81" s="31"/>
    </row>
    <row r="82" spans="1:8" ht="16.350000000000001" customHeight="1">
      <c r="A82" s="22" t="str">
        <f t="shared" si="3"/>
        <v>4.10 mm</v>
      </c>
      <c r="B82" s="70" t="str">
        <f t="shared" si="2"/>
        <v>4.10 mm</v>
      </c>
      <c r="C82" s="8" t="s">
        <v>74</v>
      </c>
      <c r="D82" s="71" t="s">
        <v>537</v>
      </c>
      <c r="E82" s="10">
        <v>4.0999999999999996</v>
      </c>
      <c r="F82" s="10" t="s">
        <v>95</v>
      </c>
      <c r="G82" s="22" t="s">
        <v>99</v>
      </c>
      <c r="H82" s="31"/>
    </row>
    <row r="83" spans="1:8" ht="16.350000000000001" customHeight="1">
      <c r="A83" s="22" t="str">
        <f t="shared" si="3"/>
        <v>4.15 mm</v>
      </c>
      <c r="B83" s="70" t="str">
        <f t="shared" si="2"/>
        <v>4.15 mm</v>
      </c>
      <c r="C83" s="8" t="s">
        <v>74</v>
      </c>
      <c r="D83" s="71" t="s">
        <v>537</v>
      </c>
      <c r="E83" s="10">
        <v>4.1500000000000004</v>
      </c>
      <c r="F83" s="10" t="s">
        <v>95</v>
      </c>
      <c r="G83" s="22" t="s">
        <v>99</v>
      </c>
      <c r="H83" s="31"/>
    </row>
    <row r="84" spans="1:8" ht="16.350000000000001" customHeight="1">
      <c r="A84" s="22" t="str">
        <f t="shared" si="3"/>
        <v>4.20 mm</v>
      </c>
      <c r="B84" s="70" t="str">
        <f t="shared" si="2"/>
        <v>4.20 mm</v>
      </c>
      <c r="C84" s="8" t="s">
        <v>74</v>
      </c>
      <c r="D84" s="71" t="s">
        <v>537</v>
      </c>
      <c r="E84" s="10">
        <v>4.2</v>
      </c>
      <c r="F84" s="10" t="s">
        <v>95</v>
      </c>
      <c r="G84" s="22" t="s">
        <v>99</v>
      </c>
      <c r="H84" s="31"/>
    </row>
    <row r="85" spans="1:8" ht="16.350000000000001" customHeight="1">
      <c r="A85" s="22" t="str">
        <f t="shared" si="3"/>
        <v>4.25 mm</v>
      </c>
      <c r="B85" s="70" t="str">
        <f t="shared" si="2"/>
        <v>4.25 mm</v>
      </c>
      <c r="C85" s="8" t="s">
        <v>74</v>
      </c>
      <c r="D85" s="71" t="s">
        <v>537</v>
      </c>
      <c r="E85" s="10">
        <v>4.25</v>
      </c>
      <c r="F85" s="10" t="s">
        <v>95</v>
      </c>
      <c r="G85" s="22" t="s">
        <v>99</v>
      </c>
      <c r="H85" s="31"/>
    </row>
    <row r="86" spans="1:8" ht="16.350000000000001" customHeight="1">
      <c r="A86" s="22" t="str">
        <f t="shared" si="3"/>
        <v>4.30 mm</v>
      </c>
      <c r="B86" s="70" t="str">
        <f t="shared" si="2"/>
        <v>4.30 mm</v>
      </c>
      <c r="C86" s="8" t="s">
        <v>74</v>
      </c>
      <c r="D86" s="71" t="s">
        <v>537</v>
      </c>
      <c r="E86" s="10">
        <v>4.3</v>
      </c>
      <c r="F86" s="10" t="s">
        <v>95</v>
      </c>
      <c r="G86" s="22" t="s">
        <v>99</v>
      </c>
      <c r="H86" s="31"/>
    </row>
    <row r="87" spans="1:8" ht="16.350000000000001" customHeight="1">
      <c r="A87" s="22" t="str">
        <f t="shared" si="3"/>
        <v>4.35 mm</v>
      </c>
      <c r="B87" s="70" t="str">
        <f t="shared" si="2"/>
        <v>4.35 mm</v>
      </c>
      <c r="C87" s="8" t="s">
        <v>74</v>
      </c>
      <c r="D87" s="71" t="s">
        <v>537</v>
      </c>
      <c r="E87" s="10">
        <v>4.3499999999999996</v>
      </c>
      <c r="F87" s="10" t="s">
        <v>95</v>
      </c>
      <c r="G87" s="22" t="s">
        <v>99</v>
      </c>
      <c r="H87" s="31"/>
    </row>
    <row r="88" spans="1:8" ht="16.350000000000001" customHeight="1">
      <c r="A88" s="22" t="str">
        <f t="shared" si="3"/>
        <v>4.40 mm</v>
      </c>
      <c r="B88" s="70" t="str">
        <f t="shared" si="2"/>
        <v>4.40 mm</v>
      </c>
      <c r="C88" s="8" t="s">
        <v>74</v>
      </c>
      <c r="D88" s="71" t="s">
        <v>537</v>
      </c>
      <c r="E88" s="10">
        <v>4.4000000000000004</v>
      </c>
      <c r="F88" s="10" t="s">
        <v>95</v>
      </c>
      <c r="G88" s="22" t="s">
        <v>99</v>
      </c>
      <c r="H88" s="31"/>
    </row>
    <row r="89" spans="1:8" ht="16.350000000000001" customHeight="1">
      <c r="A89" s="22" t="str">
        <f t="shared" si="3"/>
        <v>4.45 mm</v>
      </c>
      <c r="B89" s="70" t="str">
        <f t="shared" si="2"/>
        <v>4.45 mm</v>
      </c>
      <c r="C89" s="8" t="s">
        <v>74</v>
      </c>
      <c r="D89" s="71" t="s">
        <v>537</v>
      </c>
      <c r="E89" s="10">
        <v>4.45</v>
      </c>
      <c r="F89" s="10" t="s">
        <v>95</v>
      </c>
      <c r="G89" s="22" t="s">
        <v>99</v>
      </c>
      <c r="H89" s="31"/>
    </row>
    <row r="90" spans="1:8" ht="16.350000000000001" customHeight="1">
      <c r="A90" s="22" t="str">
        <f t="shared" si="3"/>
        <v>4.50 mm</v>
      </c>
      <c r="B90" s="70" t="str">
        <f t="shared" si="2"/>
        <v>4.50 mm</v>
      </c>
      <c r="C90" s="8" t="s">
        <v>74</v>
      </c>
      <c r="D90" s="71" t="s">
        <v>537</v>
      </c>
      <c r="E90" s="10">
        <v>4.5</v>
      </c>
      <c r="F90" s="10" t="s">
        <v>95</v>
      </c>
      <c r="G90" s="22" t="s">
        <v>99</v>
      </c>
      <c r="H90" s="31"/>
    </row>
    <row r="91" spans="1:8" ht="16.350000000000001" customHeight="1">
      <c r="A91" s="22" t="str">
        <f t="shared" si="3"/>
        <v>4.55 mm</v>
      </c>
      <c r="B91" s="70" t="str">
        <f t="shared" si="2"/>
        <v>4.55 mm</v>
      </c>
      <c r="C91" s="8" t="s">
        <v>74</v>
      </c>
      <c r="D91" s="71" t="s">
        <v>537</v>
      </c>
      <c r="E91" s="10">
        <v>4.55</v>
      </c>
      <c r="F91" s="10" t="s">
        <v>95</v>
      </c>
      <c r="G91" s="22" t="s">
        <v>99</v>
      </c>
      <c r="H91" s="31"/>
    </row>
    <row r="92" spans="1:8" ht="16.350000000000001" customHeight="1">
      <c r="A92" s="22" t="str">
        <f t="shared" si="3"/>
        <v>4.60 mm</v>
      </c>
      <c r="B92" s="70" t="str">
        <f t="shared" si="2"/>
        <v>4.60 mm</v>
      </c>
      <c r="C92" s="8" t="s">
        <v>74</v>
      </c>
      <c r="D92" s="71" t="s">
        <v>537</v>
      </c>
      <c r="E92" s="10">
        <v>4.5999999999999996</v>
      </c>
      <c r="F92" s="10" t="s">
        <v>95</v>
      </c>
      <c r="G92" s="22" t="s">
        <v>99</v>
      </c>
      <c r="H92" s="31"/>
    </row>
    <row r="93" spans="1:8" ht="16.350000000000001" customHeight="1">
      <c r="A93" s="22" t="str">
        <f t="shared" si="3"/>
        <v>4.65 mm</v>
      </c>
      <c r="B93" s="70" t="str">
        <f t="shared" si="2"/>
        <v>4.65 mm</v>
      </c>
      <c r="C93" s="8" t="s">
        <v>74</v>
      </c>
      <c r="D93" s="71" t="s">
        <v>537</v>
      </c>
      <c r="E93" s="10">
        <v>4.6500000000000004</v>
      </c>
      <c r="F93" s="10" t="s">
        <v>95</v>
      </c>
      <c r="G93" s="22" t="s">
        <v>99</v>
      </c>
      <c r="H93" s="31"/>
    </row>
    <row r="94" spans="1:8" ht="16.350000000000001" customHeight="1">
      <c r="A94" s="22" t="str">
        <f t="shared" si="3"/>
        <v>4.70 mm</v>
      </c>
      <c r="B94" s="70" t="str">
        <f t="shared" si="2"/>
        <v>4.70 mm</v>
      </c>
      <c r="C94" s="8" t="s">
        <v>74</v>
      </c>
      <c r="D94" s="71" t="s">
        <v>537</v>
      </c>
      <c r="E94" s="10">
        <v>4.7</v>
      </c>
      <c r="F94" s="10" t="s">
        <v>95</v>
      </c>
      <c r="G94" s="22" t="s">
        <v>99</v>
      </c>
      <c r="H94" s="31"/>
    </row>
    <row r="95" spans="1:8" ht="16.350000000000001" customHeight="1">
      <c r="A95" s="22" t="str">
        <f t="shared" si="3"/>
        <v>4.75 mm</v>
      </c>
      <c r="B95" s="70" t="str">
        <f t="shared" si="2"/>
        <v>4.75 mm</v>
      </c>
      <c r="C95" s="8" t="s">
        <v>74</v>
      </c>
      <c r="D95" s="71" t="s">
        <v>537</v>
      </c>
      <c r="E95" s="10">
        <v>4.75</v>
      </c>
      <c r="F95" s="10" t="s">
        <v>95</v>
      </c>
      <c r="G95" s="22" t="s">
        <v>99</v>
      </c>
      <c r="H95" s="31"/>
    </row>
    <row r="96" spans="1:8" ht="16.350000000000001" customHeight="1">
      <c r="A96" s="22" t="str">
        <f t="shared" si="3"/>
        <v>4.80 mm</v>
      </c>
      <c r="B96" s="70" t="str">
        <f t="shared" si="2"/>
        <v>4.80 mm</v>
      </c>
      <c r="C96" s="8" t="s">
        <v>74</v>
      </c>
      <c r="D96" s="71" t="s">
        <v>537</v>
      </c>
      <c r="E96" s="10">
        <v>4.8</v>
      </c>
      <c r="F96" s="10" t="s">
        <v>95</v>
      </c>
      <c r="G96" s="22" t="s">
        <v>99</v>
      </c>
      <c r="H96" s="31"/>
    </row>
    <row r="97" spans="1:8" ht="16.350000000000001" customHeight="1">
      <c r="A97" s="22" t="str">
        <f t="shared" si="3"/>
        <v>4.85 mm</v>
      </c>
      <c r="B97" s="70" t="str">
        <f t="shared" si="2"/>
        <v>4.85 mm</v>
      </c>
      <c r="C97" s="8" t="s">
        <v>74</v>
      </c>
      <c r="D97" s="71" t="s">
        <v>537</v>
      </c>
      <c r="E97" s="10">
        <v>4.8499999999999996</v>
      </c>
      <c r="F97" s="10" t="s">
        <v>95</v>
      </c>
      <c r="G97" s="22" t="s">
        <v>99</v>
      </c>
      <c r="H97" s="31"/>
    </row>
    <row r="98" spans="1:8" ht="16.350000000000001" customHeight="1">
      <c r="A98" s="22" t="str">
        <f t="shared" si="3"/>
        <v>4.90 mm</v>
      </c>
      <c r="B98" s="70" t="str">
        <f t="shared" si="2"/>
        <v>4.90 mm</v>
      </c>
      <c r="C98" s="8" t="s">
        <v>74</v>
      </c>
      <c r="D98" s="71" t="s">
        <v>537</v>
      </c>
      <c r="E98" s="10">
        <v>4.9000000000000004</v>
      </c>
      <c r="F98" s="10" t="s">
        <v>95</v>
      </c>
      <c r="G98" s="22" t="s">
        <v>99</v>
      </c>
      <c r="H98" s="31"/>
    </row>
    <row r="99" spans="1:8" ht="16.350000000000001" customHeight="1">
      <c r="A99" s="22" t="str">
        <f t="shared" si="3"/>
        <v>4.95 mm</v>
      </c>
      <c r="B99" s="70" t="str">
        <f t="shared" si="2"/>
        <v>4.95 mm</v>
      </c>
      <c r="C99" s="8" t="s">
        <v>74</v>
      </c>
      <c r="D99" s="71" t="s">
        <v>537</v>
      </c>
      <c r="E99" s="10">
        <v>4.95</v>
      </c>
      <c r="F99" s="10" t="s">
        <v>95</v>
      </c>
      <c r="G99" s="22" t="s">
        <v>99</v>
      </c>
      <c r="H99" s="31"/>
    </row>
    <row r="100" spans="1:8" ht="16.350000000000001" customHeight="1">
      <c r="A100" s="22" t="str">
        <f t="shared" si="3"/>
        <v>5.00 mm</v>
      </c>
      <c r="B100" s="70" t="str">
        <f t="shared" si="2"/>
        <v>5.00 mm</v>
      </c>
      <c r="C100" s="8" t="s">
        <v>74</v>
      </c>
      <c r="D100" s="71" t="s">
        <v>537</v>
      </c>
      <c r="E100" s="4">
        <v>5</v>
      </c>
      <c r="F100" s="10" t="s">
        <v>95</v>
      </c>
      <c r="G100" s="22" t="s">
        <v>99</v>
      </c>
    </row>
    <row r="101" spans="1:8" ht="16.350000000000001" customHeight="1">
      <c r="A101" s="22" t="str">
        <f t="shared" si="3"/>
        <v>5.05 mm</v>
      </c>
      <c r="B101" s="70" t="str">
        <f t="shared" si="2"/>
        <v>5.05 mm</v>
      </c>
      <c r="C101" s="8" t="s">
        <v>74</v>
      </c>
      <c r="D101" s="71" t="s">
        <v>537</v>
      </c>
      <c r="E101" s="4">
        <v>5.05</v>
      </c>
      <c r="F101" s="10" t="s">
        <v>95</v>
      </c>
      <c r="G101" s="22" t="s">
        <v>99</v>
      </c>
    </row>
    <row r="102" spans="1:8" ht="16.350000000000001" customHeight="1">
      <c r="A102" s="22" t="str">
        <f t="shared" si="3"/>
        <v>5.10 mm</v>
      </c>
      <c r="B102" s="70" t="str">
        <f t="shared" si="2"/>
        <v>5.10 mm</v>
      </c>
      <c r="C102" s="8" t="s">
        <v>74</v>
      </c>
      <c r="D102" s="71" t="s">
        <v>537</v>
      </c>
      <c r="E102" s="4">
        <v>5.0999999999999996</v>
      </c>
      <c r="F102" s="10" t="s">
        <v>95</v>
      </c>
      <c r="G102" s="22" t="s">
        <v>99</v>
      </c>
    </row>
    <row r="103" spans="1:8" ht="16.350000000000001" customHeight="1">
      <c r="A103" s="22" t="str">
        <f t="shared" si="3"/>
        <v>5.15 mm</v>
      </c>
      <c r="B103" s="70" t="str">
        <f t="shared" si="2"/>
        <v>5.15 mm</v>
      </c>
      <c r="C103" s="8" t="s">
        <v>74</v>
      </c>
      <c r="D103" s="71" t="s">
        <v>537</v>
      </c>
      <c r="E103" s="4">
        <v>5.15</v>
      </c>
      <c r="F103" s="10" t="s">
        <v>95</v>
      </c>
      <c r="G103" s="22" t="s">
        <v>99</v>
      </c>
    </row>
    <row r="104" spans="1:8" ht="16.350000000000001" customHeight="1">
      <c r="A104" s="22" t="str">
        <f t="shared" si="3"/>
        <v>5.20 mm</v>
      </c>
      <c r="B104" s="70" t="str">
        <f t="shared" si="2"/>
        <v>5.20 mm</v>
      </c>
      <c r="C104" s="8" t="s">
        <v>74</v>
      </c>
      <c r="D104" s="71" t="s">
        <v>537</v>
      </c>
      <c r="E104" s="4">
        <v>5.2</v>
      </c>
      <c r="F104" s="10" t="s">
        <v>95</v>
      </c>
      <c r="G104" s="22" t="s">
        <v>99</v>
      </c>
    </row>
    <row r="105" spans="1:8" ht="16.350000000000001" customHeight="1">
      <c r="A105" s="22" t="str">
        <f t="shared" si="3"/>
        <v>5.25 mm</v>
      </c>
      <c r="B105" s="70" t="str">
        <f t="shared" si="2"/>
        <v>5.25 mm</v>
      </c>
      <c r="C105" s="8" t="s">
        <v>74</v>
      </c>
      <c r="D105" s="71" t="s">
        <v>537</v>
      </c>
      <c r="E105" s="4">
        <v>5.25</v>
      </c>
      <c r="F105" s="10" t="s">
        <v>95</v>
      </c>
      <c r="G105" s="22" t="s">
        <v>99</v>
      </c>
    </row>
    <row r="106" spans="1:8" ht="16.350000000000001" customHeight="1">
      <c r="A106" s="22" t="str">
        <f t="shared" si="3"/>
        <v>5.30 mm</v>
      </c>
      <c r="B106" s="70" t="str">
        <f t="shared" si="2"/>
        <v>5.30 mm</v>
      </c>
      <c r="C106" s="8" t="s">
        <v>74</v>
      </c>
      <c r="D106" s="71" t="s">
        <v>537</v>
      </c>
      <c r="E106" s="4">
        <v>5.3</v>
      </c>
      <c r="F106" s="10" t="s">
        <v>95</v>
      </c>
      <c r="G106" s="22" t="s">
        <v>99</v>
      </c>
    </row>
    <row r="107" spans="1:8" ht="16.350000000000001" customHeight="1">
      <c r="A107" s="22" t="str">
        <f t="shared" si="3"/>
        <v>5.35 mm</v>
      </c>
      <c r="B107" s="70" t="str">
        <f t="shared" si="2"/>
        <v>5.35 mm</v>
      </c>
      <c r="C107" s="8" t="s">
        <v>74</v>
      </c>
      <c r="D107" s="71" t="s">
        <v>537</v>
      </c>
      <c r="E107" s="4">
        <v>5.35</v>
      </c>
      <c r="F107" s="10" t="s">
        <v>95</v>
      </c>
      <c r="G107" s="22" t="s">
        <v>99</v>
      </c>
    </row>
    <row r="108" spans="1:8" ht="16.350000000000001" customHeight="1">
      <c r="A108" s="22" t="str">
        <f t="shared" si="3"/>
        <v>5.40 mm</v>
      </c>
      <c r="B108" s="70" t="str">
        <f t="shared" si="2"/>
        <v>5.40 mm</v>
      </c>
      <c r="C108" s="8" t="s">
        <v>74</v>
      </c>
      <c r="D108" s="71" t="s">
        <v>537</v>
      </c>
      <c r="E108" s="4">
        <v>5.4</v>
      </c>
      <c r="F108" s="10" t="s">
        <v>95</v>
      </c>
      <c r="G108" s="22" t="s">
        <v>99</v>
      </c>
    </row>
    <row r="109" spans="1:8" ht="16.350000000000001" customHeight="1">
      <c r="A109" s="22" t="str">
        <f t="shared" si="3"/>
        <v>5.45 mm</v>
      </c>
      <c r="B109" s="70" t="str">
        <f t="shared" si="2"/>
        <v>5.45 mm</v>
      </c>
      <c r="C109" s="8" t="s">
        <v>74</v>
      </c>
      <c r="D109" s="71" t="s">
        <v>537</v>
      </c>
      <c r="E109" s="4">
        <v>5.45</v>
      </c>
      <c r="F109" s="10" t="s">
        <v>95</v>
      </c>
      <c r="G109" s="22" t="s">
        <v>99</v>
      </c>
    </row>
    <row r="110" spans="1:8" ht="16.350000000000001" customHeight="1">
      <c r="A110" s="22" t="str">
        <f t="shared" si="3"/>
        <v>5.50 mm</v>
      </c>
      <c r="B110" s="70" t="str">
        <f t="shared" si="2"/>
        <v>5.50 mm</v>
      </c>
      <c r="C110" s="8" t="s">
        <v>74</v>
      </c>
      <c r="D110" s="71" t="s">
        <v>537</v>
      </c>
      <c r="E110" s="4">
        <v>5.5</v>
      </c>
      <c r="F110" s="10" t="s">
        <v>95</v>
      </c>
      <c r="G110" s="22" t="s">
        <v>99</v>
      </c>
    </row>
    <row r="111" spans="1:8" ht="16.350000000000001" customHeight="1">
      <c r="A111" s="22" t="str">
        <f t="shared" si="3"/>
        <v>5.55 mm</v>
      </c>
      <c r="B111" s="70" t="str">
        <f t="shared" si="2"/>
        <v>5.55 mm</v>
      </c>
      <c r="C111" s="8" t="s">
        <v>74</v>
      </c>
      <c r="D111" s="71" t="s">
        <v>537</v>
      </c>
      <c r="E111" s="4">
        <v>5.55</v>
      </c>
      <c r="F111" s="10" t="s">
        <v>95</v>
      </c>
      <c r="G111" s="22" t="s">
        <v>99</v>
      </c>
    </row>
    <row r="112" spans="1:8" ht="16.350000000000001" customHeight="1">
      <c r="A112" s="22" t="str">
        <f t="shared" si="3"/>
        <v>5.60 mm</v>
      </c>
      <c r="B112" s="70" t="str">
        <f t="shared" si="2"/>
        <v>5.60 mm</v>
      </c>
      <c r="C112" s="8" t="s">
        <v>74</v>
      </c>
      <c r="D112" s="71" t="s">
        <v>537</v>
      </c>
      <c r="E112" s="4">
        <v>5.6</v>
      </c>
      <c r="F112" s="10" t="s">
        <v>95</v>
      </c>
      <c r="G112" s="22" t="s">
        <v>99</v>
      </c>
    </row>
    <row r="113" spans="1:7" ht="16.350000000000001" customHeight="1">
      <c r="A113" s="22" t="str">
        <f t="shared" si="3"/>
        <v>5.65 mm</v>
      </c>
      <c r="B113" s="70" t="str">
        <f t="shared" si="2"/>
        <v>5.65 mm</v>
      </c>
      <c r="C113" s="8" t="s">
        <v>74</v>
      </c>
      <c r="D113" s="71" t="s">
        <v>537</v>
      </c>
      <c r="E113" s="4">
        <v>5.65</v>
      </c>
      <c r="F113" s="10" t="s">
        <v>95</v>
      </c>
      <c r="G113" s="22" t="s">
        <v>99</v>
      </c>
    </row>
    <row r="114" spans="1:7" ht="16.350000000000001" customHeight="1">
      <c r="A114" s="22" t="str">
        <f t="shared" si="3"/>
        <v>5.70 mm</v>
      </c>
      <c r="B114" s="70" t="str">
        <f t="shared" si="2"/>
        <v>5.70 mm</v>
      </c>
      <c r="C114" s="8" t="s">
        <v>74</v>
      </c>
      <c r="D114" s="71" t="s">
        <v>537</v>
      </c>
      <c r="E114" s="4">
        <v>5.7</v>
      </c>
      <c r="F114" s="10" t="s">
        <v>95</v>
      </c>
      <c r="G114" s="22" t="s">
        <v>99</v>
      </c>
    </row>
    <row r="115" spans="1:7" ht="16.350000000000001" customHeight="1">
      <c r="A115" s="22" t="str">
        <f t="shared" si="3"/>
        <v>5.75 mm</v>
      </c>
      <c r="B115" s="70" t="str">
        <f t="shared" si="2"/>
        <v>5.75 mm</v>
      </c>
      <c r="C115" s="8" t="s">
        <v>74</v>
      </c>
      <c r="D115" s="71" t="s">
        <v>537</v>
      </c>
      <c r="E115" s="4">
        <v>5.75</v>
      </c>
      <c r="F115" s="10" t="s">
        <v>95</v>
      </c>
      <c r="G115" s="22" t="s">
        <v>99</v>
      </c>
    </row>
    <row r="116" spans="1:7" ht="16.350000000000001" customHeight="1">
      <c r="A116" s="22" t="str">
        <f t="shared" si="3"/>
        <v>5.80 mm</v>
      </c>
      <c r="B116" s="70" t="str">
        <f t="shared" si="2"/>
        <v>5.80 mm</v>
      </c>
      <c r="C116" s="8" t="s">
        <v>74</v>
      </c>
      <c r="D116" s="71" t="s">
        <v>537</v>
      </c>
      <c r="E116" s="4">
        <v>5.8</v>
      </c>
      <c r="F116" s="10" t="s">
        <v>95</v>
      </c>
      <c r="G116" s="22" t="s">
        <v>99</v>
      </c>
    </row>
    <row r="117" spans="1:7" ht="16.350000000000001" customHeight="1">
      <c r="A117" s="22" t="str">
        <f t="shared" si="3"/>
        <v>5.85 mm</v>
      </c>
      <c r="B117" s="70" t="str">
        <f t="shared" si="2"/>
        <v>5.85 mm</v>
      </c>
      <c r="C117" s="8" t="s">
        <v>74</v>
      </c>
      <c r="D117" s="71" t="s">
        <v>537</v>
      </c>
      <c r="E117" s="4">
        <v>5.85</v>
      </c>
      <c r="F117" s="10" t="s">
        <v>95</v>
      </c>
      <c r="G117" s="22" t="s">
        <v>99</v>
      </c>
    </row>
    <row r="118" spans="1:7" ht="16.350000000000001" customHeight="1">
      <c r="A118" s="22" t="str">
        <f t="shared" si="3"/>
        <v>5.90 mm</v>
      </c>
      <c r="B118" s="70" t="str">
        <f t="shared" si="2"/>
        <v>5.90 mm</v>
      </c>
      <c r="C118" s="8" t="s">
        <v>74</v>
      </c>
      <c r="D118" s="71" t="s">
        <v>537</v>
      </c>
      <c r="E118" s="4">
        <v>5.9</v>
      </c>
      <c r="F118" s="10" t="s">
        <v>95</v>
      </c>
      <c r="G118" s="22" t="s">
        <v>99</v>
      </c>
    </row>
    <row r="119" spans="1:7" ht="16.350000000000001" customHeight="1">
      <c r="A119" s="22" t="str">
        <f t="shared" si="3"/>
        <v>5.95 mm</v>
      </c>
      <c r="B119" s="70" t="str">
        <f t="shared" si="2"/>
        <v>5.95 mm</v>
      </c>
      <c r="C119" s="8" t="s">
        <v>74</v>
      </c>
      <c r="D119" s="71" t="s">
        <v>537</v>
      </c>
      <c r="E119" s="4">
        <v>5.95</v>
      </c>
      <c r="F119" s="10" t="s">
        <v>95</v>
      </c>
      <c r="G119" s="22" t="s">
        <v>99</v>
      </c>
    </row>
    <row r="120" spans="1:7" ht="16.350000000000001" customHeight="1">
      <c r="A120" s="22" t="str">
        <f t="shared" si="3"/>
        <v>6.00 mm</v>
      </c>
      <c r="B120" s="70" t="str">
        <f t="shared" si="2"/>
        <v>6.00 mm</v>
      </c>
      <c r="C120" s="8" t="s">
        <v>74</v>
      </c>
      <c r="D120" s="71" t="s">
        <v>537</v>
      </c>
      <c r="E120" s="4">
        <v>6</v>
      </c>
      <c r="F120" s="10" t="s">
        <v>95</v>
      </c>
      <c r="G120" s="22" t="s">
        <v>99</v>
      </c>
    </row>
    <row r="121" spans="1:7" ht="16.350000000000001" customHeight="1">
      <c r="A121" s="22" t="str">
        <f t="shared" si="3"/>
        <v>6.05 mm</v>
      </c>
      <c r="B121" s="70" t="str">
        <f t="shared" si="2"/>
        <v>6.05 mm</v>
      </c>
      <c r="C121" s="8" t="s">
        <v>74</v>
      </c>
      <c r="D121" s="71" t="s">
        <v>537</v>
      </c>
      <c r="E121" s="4">
        <v>6.05</v>
      </c>
      <c r="F121" s="10" t="s">
        <v>95</v>
      </c>
      <c r="G121" s="22" t="s">
        <v>99</v>
      </c>
    </row>
    <row r="122" spans="1:7" ht="16.350000000000001" customHeight="1">
      <c r="A122" s="22" t="str">
        <f t="shared" si="3"/>
        <v>6.10 mm</v>
      </c>
      <c r="B122" s="70" t="str">
        <f t="shared" si="2"/>
        <v>6.10 mm</v>
      </c>
      <c r="C122" s="8" t="s">
        <v>74</v>
      </c>
      <c r="D122" s="71" t="s">
        <v>537</v>
      </c>
      <c r="E122" s="4">
        <v>6.1</v>
      </c>
      <c r="F122" s="10" t="s">
        <v>95</v>
      </c>
      <c r="G122" s="22" t="s">
        <v>99</v>
      </c>
    </row>
    <row r="123" spans="1:7" ht="16.350000000000001" customHeight="1">
      <c r="A123" s="22" t="str">
        <f t="shared" si="3"/>
        <v>6.15 mm</v>
      </c>
      <c r="B123" s="70" t="str">
        <f t="shared" si="2"/>
        <v>6.15 mm</v>
      </c>
      <c r="C123" s="8" t="s">
        <v>74</v>
      </c>
      <c r="D123" s="71" t="s">
        <v>537</v>
      </c>
      <c r="E123" s="4">
        <v>6.15</v>
      </c>
      <c r="F123" s="10" t="s">
        <v>95</v>
      </c>
      <c r="G123" s="22" t="s">
        <v>99</v>
      </c>
    </row>
    <row r="124" spans="1:7" ht="16.350000000000001" customHeight="1">
      <c r="A124" s="22" t="str">
        <f t="shared" si="3"/>
        <v>6.20 mm</v>
      </c>
      <c r="B124" s="70" t="str">
        <f t="shared" si="2"/>
        <v>6.20 mm</v>
      </c>
      <c r="C124" s="8" t="s">
        <v>74</v>
      </c>
      <c r="D124" s="71" t="s">
        <v>537</v>
      </c>
      <c r="E124" s="4">
        <v>6.2</v>
      </c>
      <c r="F124" s="10" t="s">
        <v>95</v>
      </c>
      <c r="G124" s="22" t="s">
        <v>99</v>
      </c>
    </row>
    <row r="125" spans="1:7" ht="16.350000000000001" customHeight="1">
      <c r="A125" s="22" t="str">
        <f t="shared" si="3"/>
        <v>6.25 mm</v>
      </c>
      <c r="B125" s="70" t="str">
        <f t="shared" si="2"/>
        <v>6.25 mm</v>
      </c>
      <c r="C125" s="8" t="s">
        <v>74</v>
      </c>
      <c r="D125" s="71" t="s">
        <v>537</v>
      </c>
      <c r="E125" s="4">
        <v>6.25</v>
      </c>
      <c r="F125" s="10" t="s">
        <v>95</v>
      </c>
      <c r="G125" s="22" t="s">
        <v>99</v>
      </c>
    </row>
    <row r="126" spans="1:7" ht="16.350000000000001" customHeight="1">
      <c r="A126" s="22" t="str">
        <f t="shared" si="3"/>
        <v>6.30 mm</v>
      </c>
      <c r="B126" s="188" t="str">
        <f t="shared" si="2"/>
        <v>6.30 mm</v>
      </c>
      <c r="C126" s="8" t="s">
        <v>74</v>
      </c>
      <c r="D126" s="71" t="s">
        <v>537</v>
      </c>
      <c r="E126" s="4">
        <v>6.3</v>
      </c>
      <c r="F126" s="10" t="s">
        <v>95</v>
      </c>
      <c r="G126" s="22" t="s">
        <v>99</v>
      </c>
    </row>
    <row r="127" spans="1:7" ht="16.350000000000001" customHeight="1">
      <c r="A127" s="19" t="str">
        <f t="shared" si="3"/>
        <v>6.35 mm</v>
      </c>
      <c r="B127" s="189" t="str">
        <f t="shared" si="2"/>
        <v>6.35 mm</v>
      </c>
      <c r="C127" s="190" t="s">
        <v>74</v>
      </c>
      <c r="D127" s="71" t="s">
        <v>537</v>
      </c>
      <c r="E127" s="4">
        <v>6.35</v>
      </c>
      <c r="F127" s="10" t="s">
        <v>95</v>
      </c>
      <c r="G127" s="22" t="s">
        <v>99</v>
      </c>
    </row>
    <row r="128" spans="1:7" ht="16.350000000000001" customHeight="1">
      <c r="B128" s="189"/>
    </row>
    <row r="129" spans="2:2" ht="16.350000000000001" customHeight="1">
      <c r="B129" s="189"/>
    </row>
    <row r="130" spans="2:2" ht="16.350000000000001" customHeight="1">
      <c r="B130" s="189"/>
    </row>
    <row r="131" spans="2:2" ht="16.350000000000001" customHeight="1">
      <c r="B131" s="189"/>
    </row>
    <row r="132" spans="2:2" ht="16.350000000000001" customHeight="1">
      <c r="B132" s="189"/>
    </row>
    <row r="133" spans="2:2" ht="16.350000000000001" customHeight="1">
      <c r="B133" s="189"/>
    </row>
    <row r="134" spans="2:2" ht="16.350000000000001" customHeight="1"/>
    <row r="135" spans="2:2" ht="16.350000000000001" customHeight="1"/>
    <row r="136" spans="2:2" ht="16.350000000000001" customHeight="1"/>
    <row r="137" spans="2:2" ht="16.350000000000001" customHeight="1"/>
    <row r="138" spans="2:2" ht="16.350000000000001" customHeight="1"/>
    <row r="139" spans="2:2" ht="16.350000000000001" customHeight="1"/>
    <row r="140" spans="2:2" ht="16.350000000000001" customHeight="1"/>
    <row r="141" spans="2:2" ht="16.350000000000001" customHeight="1"/>
    <row r="142" spans="2:2" ht="16.350000000000001" customHeight="1"/>
    <row r="143" spans="2:2" ht="16.350000000000001" customHeight="1"/>
    <row r="144" spans="2:2" ht="16.350000000000001" customHeight="1"/>
    <row r="145" ht="16.350000000000001" customHeight="1"/>
  </sheetData>
  <phoneticPr fontId="12" type="noConversion"/>
  <conditionalFormatting sqref="E2:E65">
    <cfRule type="cellIs" dxfId="44" priority="1" stopIfTrue="1" operator="equal">
      <formula>"Unknown"</formula>
    </cfRule>
  </conditionalFormatting>
  <dataValidations count="1">
    <dataValidation type="list" allowBlank="1" showInputMessage="1" showErrorMessage="1" sqref="C2:C65536">
      <formula1>"'false,'true"</formula1>
    </dataValidation>
  </dataValidations>
  <pageMargins left="0.75" right="0.75" top="1" bottom="1" header="0.5" footer="0.5"/>
  <headerFooter alignWithMargins="0"/>
  <ignoredErrors>
    <ignoredError sqref="B61" formula="1"/>
  </ignoredErrors>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39"/>
  <sheetViews>
    <sheetView workbookViewId="0">
      <pane ySplit="1" topLeftCell="A2" activePane="bottomLeft" state="frozen"/>
      <selection pane="bottomLeft" activeCell="Q34" sqref="Q34"/>
    </sheetView>
  </sheetViews>
  <sheetFormatPr defaultRowHeight="12.75"/>
  <cols>
    <col min="1" max="1" width="30.85546875" bestFit="1" customWidth="1"/>
    <col min="4" max="4" width="30.28515625" bestFit="1" customWidth="1"/>
  </cols>
  <sheetData>
    <row r="1" spans="1:5" s="287" customFormat="1" ht="28.5" customHeight="1">
      <c r="A1" s="286" t="s">
        <v>1492</v>
      </c>
      <c r="D1" s="286" t="s">
        <v>1493</v>
      </c>
    </row>
    <row r="2" spans="1:5">
      <c r="A2" t="s">
        <v>2031</v>
      </c>
      <c r="D2" t="s">
        <v>2032</v>
      </c>
    </row>
    <row r="3" spans="1:5">
      <c r="A3" t="s">
        <v>2032</v>
      </c>
      <c r="D3" t="s">
        <v>2033</v>
      </c>
    </row>
    <row r="4" spans="1:5">
      <c r="A4" t="s">
        <v>2033</v>
      </c>
      <c r="D4" s="319" t="s">
        <v>2034</v>
      </c>
      <c r="E4" s="320"/>
    </row>
    <row r="5" spans="1:5">
      <c r="A5" t="s">
        <v>2034</v>
      </c>
      <c r="D5" t="s">
        <v>2035</v>
      </c>
    </row>
    <row r="6" spans="1:5">
      <c r="A6" t="s">
        <v>2035</v>
      </c>
      <c r="D6" t="s">
        <v>2036</v>
      </c>
    </row>
    <row r="7" spans="1:5">
      <c r="A7" t="s">
        <v>2036</v>
      </c>
      <c r="D7" t="s">
        <v>2037</v>
      </c>
      <c r="E7" s="320"/>
    </row>
    <row r="8" spans="1:5">
      <c r="A8" t="s">
        <v>2037</v>
      </c>
      <c r="D8" t="s">
        <v>2038</v>
      </c>
      <c r="E8" s="320"/>
    </row>
    <row r="9" spans="1:5">
      <c r="A9" t="s">
        <v>2038</v>
      </c>
      <c r="D9" t="s">
        <v>2041</v>
      </c>
      <c r="E9" s="320"/>
    </row>
    <row r="10" spans="1:5">
      <c r="A10" t="s">
        <v>2039</v>
      </c>
      <c r="D10" t="s">
        <v>2042</v>
      </c>
      <c r="E10" s="320"/>
    </row>
    <row r="11" spans="1:5">
      <c r="A11" t="s">
        <v>2040</v>
      </c>
      <c r="D11" t="s">
        <v>2043</v>
      </c>
    </row>
    <row r="12" spans="1:5">
      <c r="A12" t="s">
        <v>2041</v>
      </c>
      <c r="D12" t="s">
        <v>2046</v>
      </c>
    </row>
    <row r="13" spans="1:5">
      <c r="A13" t="s">
        <v>2042</v>
      </c>
      <c r="D13" t="s">
        <v>2047</v>
      </c>
    </row>
    <row r="14" spans="1:5">
      <c r="A14" t="s">
        <v>2043</v>
      </c>
      <c r="D14" s="185" t="s">
        <v>2106</v>
      </c>
    </row>
    <row r="15" spans="1:5">
      <c r="A15" t="s">
        <v>2044</v>
      </c>
      <c r="D15" s="185" t="s">
        <v>2049</v>
      </c>
    </row>
    <row r="16" spans="1:5">
      <c r="A16" t="s">
        <v>2045</v>
      </c>
      <c r="D16" t="s">
        <v>2039</v>
      </c>
    </row>
    <row r="17" spans="1:4">
      <c r="A17" t="s">
        <v>2046</v>
      </c>
      <c r="D17" t="s">
        <v>2048</v>
      </c>
    </row>
    <row r="18" spans="1:4">
      <c r="A18" t="s">
        <v>2047</v>
      </c>
    </row>
    <row r="19" spans="1:4">
      <c r="A19" t="s">
        <v>2048</v>
      </c>
    </row>
    <row r="20" spans="1:4">
      <c r="A20" t="s">
        <v>2049</v>
      </c>
    </row>
    <row r="21" spans="1:4" s="185" customFormat="1">
      <c r="A21" s="185" t="s">
        <v>2106</v>
      </c>
    </row>
    <row r="22" spans="1:4" s="185" customFormat="1"/>
    <row r="23" spans="1:4">
      <c r="A23" t="s">
        <v>2087</v>
      </c>
    </row>
    <row r="24" spans="1:4">
      <c r="A24" t="s">
        <v>2088</v>
      </c>
    </row>
    <row r="25" spans="1:4">
      <c r="A25" t="s">
        <v>2089</v>
      </c>
    </row>
    <row r="26" spans="1:4">
      <c r="A26" t="s">
        <v>2090</v>
      </c>
    </row>
    <row r="27" spans="1:4">
      <c r="A27" t="s">
        <v>2091</v>
      </c>
    </row>
    <row r="28" spans="1:4">
      <c r="A28" t="s">
        <v>2092</v>
      </c>
    </row>
    <row r="29" spans="1:4">
      <c r="A29" t="s">
        <v>2093</v>
      </c>
    </row>
    <row r="30" spans="1:4">
      <c r="A30" t="s">
        <v>2094</v>
      </c>
    </row>
    <row r="31" spans="1:4">
      <c r="A31" t="s">
        <v>2095</v>
      </c>
    </row>
    <row r="32" spans="1:4" s="185" customFormat="1"/>
    <row r="33" spans="1:1">
      <c r="A33" s="285" t="s">
        <v>1494</v>
      </c>
    </row>
    <row r="34" spans="1:1">
      <c r="A34" t="s">
        <v>2096</v>
      </c>
    </row>
    <row r="35" spans="1:1">
      <c r="A35" t="s">
        <v>2097</v>
      </c>
    </row>
    <row r="36" spans="1:1">
      <c r="A36" t="s">
        <v>2098</v>
      </c>
    </row>
    <row r="37" spans="1:1">
      <c r="A37" t="s">
        <v>1491</v>
      </c>
    </row>
    <row r="38" spans="1:1">
      <c r="A38" t="s">
        <v>1491</v>
      </c>
    </row>
    <row r="39" spans="1:1">
      <c r="A39" t="s">
        <v>1491</v>
      </c>
    </row>
  </sheetData>
  <conditionalFormatting sqref="A2:D21">
    <cfRule type="duplicateValues" dxfId="43" priority="1"/>
  </conditionalFormatting>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Q4"/>
  <sheetViews>
    <sheetView workbookViewId="0">
      <selection activeCell="H25" sqref="H25"/>
    </sheetView>
  </sheetViews>
  <sheetFormatPr defaultColWidth="11.42578125" defaultRowHeight="13.5"/>
  <cols>
    <col min="1" max="1" width="32.5703125" style="53" bestFit="1" customWidth="1"/>
    <col min="2" max="2" width="18.42578125" style="53" bestFit="1" customWidth="1"/>
    <col min="3" max="3" width="18.42578125" style="53" customWidth="1"/>
    <col min="4" max="4" width="9.5703125" style="53" customWidth="1"/>
    <col min="5" max="7" width="13.140625" style="53" customWidth="1"/>
    <col min="8" max="8" width="23.85546875" style="53" customWidth="1"/>
    <col min="9" max="9" width="20.7109375" style="53" bestFit="1" customWidth="1"/>
    <col min="10" max="10" width="17.28515625" style="53" bestFit="1" customWidth="1"/>
    <col min="11" max="11" width="25.5703125" style="53" bestFit="1" customWidth="1"/>
    <col min="12" max="12" width="12.140625" style="57" bestFit="1" customWidth="1"/>
    <col min="13" max="13" width="19.85546875" style="56" bestFit="1" customWidth="1"/>
    <col min="14" max="14" width="9" style="53" bestFit="1" customWidth="1"/>
    <col min="15" max="15" width="9.7109375" style="53" bestFit="1" customWidth="1"/>
    <col min="16" max="16" width="12.28515625" style="53" bestFit="1" customWidth="1"/>
    <col min="17" max="17" width="19.42578125" style="53" bestFit="1" customWidth="1"/>
    <col min="18" max="16384" width="11.42578125" style="60"/>
  </cols>
  <sheetData>
    <row r="1" spans="1:17" s="58" customFormat="1" ht="27">
      <c r="A1" s="162" t="s">
        <v>50</v>
      </c>
      <c r="B1" s="162" t="s">
        <v>21</v>
      </c>
      <c r="C1" s="141" t="s">
        <v>147</v>
      </c>
      <c r="D1" s="134" t="s">
        <v>30</v>
      </c>
      <c r="E1" s="134" t="s">
        <v>20</v>
      </c>
      <c r="F1" s="134" t="s">
        <v>26</v>
      </c>
      <c r="G1" s="134" t="s">
        <v>27</v>
      </c>
      <c r="H1" s="152" t="s">
        <v>494</v>
      </c>
      <c r="I1" s="152" t="s">
        <v>495</v>
      </c>
      <c r="J1" s="152" t="s">
        <v>496</v>
      </c>
      <c r="K1" s="152" t="s">
        <v>355</v>
      </c>
      <c r="L1" s="152" t="s">
        <v>44</v>
      </c>
      <c r="M1" s="152" t="s">
        <v>45</v>
      </c>
      <c r="N1" s="155" t="s">
        <v>25</v>
      </c>
      <c r="O1" s="155" t="s">
        <v>22</v>
      </c>
      <c r="P1" s="155" t="s">
        <v>23</v>
      </c>
      <c r="Q1" s="155" t="s">
        <v>24</v>
      </c>
    </row>
    <row r="2" spans="1:17" s="53" customFormat="1">
      <c r="A2" s="52" t="str">
        <f>D2 &amp; " " &amp; B2</f>
        <v>Unknown DRY FILM 1</v>
      </c>
      <c r="B2" s="53" t="s">
        <v>491</v>
      </c>
      <c r="C2" s="53" t="str">
        <f>IF(OR(A2=A3,A2=A1),"Dupe","--")</f>
        <v>--</v>
      </c>
      <c r="D2" s="53" t="s">
        <v>206</v>
      </c>
      <c r="E2" s="53" t="s">
        <v>175</v>
      </c>
      <c r="F2" s="53">
        <v>20</v>
      </c>
      <c r="G2" s="53">
        <v>24</v>
      </c>
      <c r="H2" s="53" t="s">
        <v>161</v>
      </c>
      <c r="I2" s="53" t="s">
        <v>497</v>
      </c>
      <c r="J2" s="59" t="s">
        <v>74</v>
      </c>
      <c r="K2" s="53">
        <v>0</v>
      </c>
      <c r="L2" s="53">
        <v>0</v>
      </c>
      <c r="M2" s="53">
        <v>1</v>
      </c>
      <c r="N2" s="59" t="s">
        <v>74</v>
      </c>
      <c r="O2" s="138"/>
      <c r="P2" s="139"/>
      <c r="Q2" s="138"/>
    </row>
    <row r="3" spans="1:17" s="53" customFormat="1">
      <c r="A3" s="52" t="str">
        <f t="shared" ref="A3:A4" si="0">D3 &amp; " " &amp; B3</f>
        <v>Unknown DRY FILM 2</v>
      </c>
      <c r="B3" s="53" t="s">
        <v>492</v>
      </c>
      <c r="C3" s="53" t="str">
        <f t="shared" ref="C3:C4" si="1">IF(OR(A3=A4,A3=A2),"Dupe","--")</f>
        <v>--</v>
      </c>
      <c r="D3" s="53" t="s">
        <v>206</v>
      </c>
      <c r="E3" s="53" t="s">
        <v>175</v>
      </c>
      <c r="F3" s="53">
        <v>20</v>
      </c>
      <c r="G3" s="53">
        <v>24</v>
      </c>
      <c r="H3" s="53" t="s">
        <v>161</v>
      </c>
      <c r="I3" s="53" t="s">
        <v>497</v>
      </c>
      <c r="J3" s="59" t="s">
        <v>74</v>
      </c>
      <c r="K3" s="53">
        <v>0</v>
      </c>
      <c r="L3" s="53">
        <v>0</v>
      </c>
      <c r="M3" s="53">
        <v>1</v>
      </c>
      <c r="N3" s="59" t="s">
        <v>74</v>
      </c>
      <c r="O3" s="138"/>
      <c r="P3" s="140"/>
      <c r="Q3" s="138"/>
    </row>
    <row r="4" spans="1:17" s="53" customFormat="1">
      <c r="A4" s="52" t="str">
        <f t="shared" si="0"/>
        <v>Unknown DRY FILM 3</v>
      </c>
      <c r="B4" s="53" t="s">
        <v>493</v>
      </c>
      <c r="C4" s="53" t="str">
        <f t="shared" si="1"/>
        <v>--</v>
      </c>
      <c r="D4" s="53" t="s">
        <v>206</v>
      </c>
      <c r="E4" s="53" t="s">
        <v>175</v>
      </c>
      <c r="F4" s="53">
        <v>20</v>
      </c>
      <c r="G4" s="53">
        <v>24</v>
      </c>
      <c r="H4" s="53" t="s">
        <v>161</v>
      </c>
      <c r="I4" s="53" t="s">
        <v>497</v>
      </c>
      <c r="J4" s="59" t="s">
        <v>74</v>
      </c>
      <c r="K4" s="53">
        <v>0</v>
      </c>
      <c r="L4" s="53">
        <v>0</v>
      </c>
      <c r="M4" s="53">
        <v>1</v>
      </c>
      <c r="N4" s="59" t="s">
        <v>74</v>
      </c>
      <c r="O4" s="138"/>
      <c r="P4" s="140"/>
      <c r="Q4" s="138"/>
    </row>
  </sheetData>
  <conditionalFormatting sqref="P2:P3">
    <cfRule type="expression" dxfId="42" priority="7" stopIfTrue="1">
      <formula>AND(COUNTIF($O$2:$O$3, A1)&gt;1,NOT(ISBLANK(A1)))</formula>
    </cfRule>
  </conditionalFormatting>
  <conditionalFormatting sqref="P4">
    <cfRule type="expression" dxfId="41" priority="6" stopIfTrue="1">
      <formula>AND(COUNTIF($O$2:$O$3, A1)&gt;1,NOT(ISBLANK(A1)))</formula>
    </cfRule>
  </conditionalFormatting>
  <conditionalFormatting sqref="O2:O3">
    <cfRule type="expression" dxfId="40" priority="8" stopIfTrue="1">
      <formula>AND(COUNTIF($O$3:$O$4, A1)&gt;1,NOT(ISBLANK(A1)))</formula>
    </cfRule>
  </conditionalFormatting>
  <conditionalFormatting sqref="O4">
    <cfRule type="expression" dxfId="39" priority="9" stopIfTrue="1">
      <formula>AND(COUNTIF($O$3:$O$4, A1)&gt;1,NOT(ISBLANK(A1)))</formula>
    </cfRule>
  </conditionalFormatting>
  <conditionalFormatting sqref="D1">
    <cfRule type="cellIs" dxfId="38" priority="4" stopIfTrue="1" operator="equal">
      <formula>"TBA"</formula>
    </cfRule>
    <cfRule type="cellIs" dxfId="37" priority="5" stopIfTrue="1" operator="equal">
      <formula>"Unknown"</formula>
    </cfRule>
  </conditionalFormatting>
  <conditionalFormatting sqref="C1">
    <cfRule type="cellIs" dxfId="36" priority="3" stopIfTrue="1" operator="equal">
      <formula>"Unknown"</formula>
    </cfRule>
  </conditionalFormatting>
  <conditionalFormatting sqref="N1:Q1">
    <cfRule type="cellIs" dxfId="35" priority="1" stopIfTrue="1" operator="equal">
      <formula>"TBA"</formula>
    </cfRule>
    <cfRule type="cellIs" dxfId="34" priority="2" stopIfTrue="1" operator="equal">
      <formula>"Unknown"</formula>
    </cfRule>
  </conditionalFormatting>
  <dataValidations count="2">
    <dataValidation type="list" allowBlank="1" showErrorMessage="1" sqref="N2:N4 J2:J4">
      <formula1>"false,true"</formula1>
    </dataValidation>
    <dataValidation type="list" allowBlank="1" showErrorMessage="1" sqref="N5:N72">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D2:D4</xm:sqref>
        </x14:dataValidation>
        <x14:dataValidation type="list" allowBlank="1" showInputMessage="1" showErrorMessage="1">
          <x14:formula1>
            <xm:f>Enums!$AD$4:$AD$26</xm:f>
          </x14:formula1>
          <xm:sqref>H2:H4</xm:sqref>
        </x14:dataValidation>
        <x14:dataValidation type="list" allowBlank="1" showInputMessage="1" showErrorMessage="1">
          <x14:formula1>
            <xm:f>Enums!$AF$4:$AF$26</xm:f>
          </x14:formula1>
          <xm:sqref>I2:I4</xm:sqref>
        </x14:dataValidation>
        <x14:dataValidation type="list" allowBlank="1" showInputMessage="1" showErrorMessage="1">
          <x14:formula1>
            <xm:f>Enums!$L$4:$L$26</xm:f>
          </x14:formula1>
          <xm:sqref>E2:E4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M6"/>
  <sheetViews>
    <sheetView workbookViewId="0">
      <pane xSplit="1" ySplit="1" topLeftCell="B2" activePane="bottomRight" state="frozen"/>
      <selection activeCell="D9" sqref="D9"/>
      <selection pane="topRight" activeCell="D9" sqref="D9"/>
      <selection pane="bottomLeft" activeCell="D9" sqref="D9"/>
      <selection pane="bottomRight" activeCell="N36" sqref="N36"/>
    </sheetView>
  </sheetViews>
  <sheetFormatPr defaultRowHeight="13.5"/>
  <cols>
    <col min="1" max="1" width="40.140625" style="166" customWidth="1"/>
    <col min="2" max="2" width="12.7109375" style="166" bestFit="1" customWidth="1"/>
    <col min="3" max="5" width="14.28515625" style="166" customWidth="1"/>
    <col min="6" max="6" width="10.7109375" style="172" customWidth="1"/>
    <col min="7" max="7" width="12.28515625" style="166" customWidth="1"/>
    <col min="8" max="8" width="10.140625" style="42" bestFit="1" customWidth="1"/>
    <col min="9" max="9" width="12.42578125" style="48" bestFit="1" customWidth="1"/>
    <col min="10" max="10" width="9.42578125" style="167" customWidth="1"/>
    <col min="11" max="11" width="9.85546875" style="167" customWidth="1"/>
    <col min="12" max="12" width="13.7109375" style="43" bestFit="1" customWidth="1"/>
    <col min="13" max="13" width="11.28515625" style="50" bestFit="1" customWidth="1"/>
    <col min="14" max="15" width="9" style="50" bestFit="1" customWidth="1"/>
    <col min="16" max="16" width="7.85546875" style="42" bestFit="1" customWidth="1"/>
    <col min="17" max="17" width="17.28515625" style="42" bestFit="1" customWidth="1"/>
    <col min="18" max="20" width="9" style="42" bestFit="1" customWidth="1"/>
    <col min="21" max="23" width="9" style="41" bestFit="1" customWidth="1"/>
    <col min="24" max="39" width="9" style="42" bestFit="1" customWidth="1"/>
    <col min="40" max="40" width="9" style="46" bestFit="1" customWidth="1"/>
    <col min="41" max="41" width="9" style="43" bestFit="1" customWidth="1"/>
    <col min="42" max="42" width="9" style="42" bestFit="1" customWidth="1"/>
    <col min="43" max="47" width="9" style="47" bestFit="1" customWidth="1"/>
    <col min="48" max="57" width="9" style="42" bestFit="1" customWidth="1"/>
    <col min="58" max="58" width="7.85546875" style="43" bestFit="1" customWidth="1"/>
    <col min="59" max="59" width="10.140625" style="44" bestFit="1" customWidth="1"/>
    <col min="60" max="60" width="9" style="45" bestFit="1" customWidth="1"/>
    <col min="61" max="67" width="9" style="42" bestFit="1" customWidth="1"/>
    <col min="68" max="70" width="10.140625" style="42" bestFit="1" customWidth="1"/>
    <col min="71" max="72" width="16" style="41" bestFit="1" customWidth="1"/>
    <col min="73" max="73" width="14.28515625" style="174" customWidth="1"/>
    <col min="74" max="74" width="17.7109375" style="172" customWidth="1"/>
    <col min="75" max="75" width="17.85546875" style="166" customWidth="1"/>
    <col min="76" max="76" width="9.85546875" style="166" customWidth="1"/>
    <col min="77" max="77" width="11.28515625" style="50" bestFit="1" customWidth="1"/>
    <col min="78" max="78" width="18.42578125" style="43" bestFit="1" customWidth="1"/>
    <col min="79" max="80" width="14.85546875" style="42" bestFit="1" customWidth="1"/>
    <col min="81" max="81" width="11.28515625" style="48" bestFit="1" customWidth="1"/>
    <col min="82" max="82" width="17.28515625" style="48" bestFit="1" customWidth="1"/>
    <col min="83" max="83" width="17.28515625" style="49" bestFit="1" customWidth="1"/>
    <col min="84" max="85" width="14.85546875" style="45" bestFit="1" customWidth="1"/>
    <col min="86" max="86" width="12.42578125" style="45" customWidth="1"/>
    <col min="87" max="88" width="11.7109375" style="170" customWidth="1"/>
    <col min="89" max="89" width="10.140625" style="166" bestFit="1" customWidth="1"/>
    <col min="90" max="90" width="14.85546875" style="166" bestFit="1" customWidth="1"/>
    <col min="91" max="91" width="23.140625" style="166" bestFit="1" customWidth="1"/>
    <col min="92" max="16384" width="9.140625" style="172"/>
  </cols>
  <sheetData>
    <row r="1" spans="1:91" s="86" customFormat="1" ht="40.5">
      <c r="A1" s="162" t="s">
        <v>50</v>
      </c>
      <c r="B1" s="162" t="s">
        <v>21</v>
      </c>
      <c r="C1" s="91" t="s">
        <v>278</v>
      </c>
      <c r="D1" s="152" t="s">
        <v>412</v>
      </c>
      <c r="E1" s="152" t="s">
        <v>409</v>
      </c>
      <c r="F1" s="151" t="s">
        <v>30</v>
      </c>
      <c r="G1" s="151" t="s">
        <v>20</v>
      </c>
      <c r="H1" s="150" t="s">
        <v>10</v>
      </c>
      <c r="I1" s="150" t="s">
        <v>17</v>
      </c>
      <c r="J1" s="151" t="s">
        <v>15</v>
      </c>
      <c r="K1" s="151" t="s">
        <v>14</v>
      </c>
      <c r="L1" s="150" t="s">
        <v>280</v>
      </c>
      <c r="M1" s="150" t="s">
        <v>287</v>
      </c>
      <c r="N1" s="151" t="s">
        <v>445</v>
      </c>
      <c r="O1" s="151" t="s">
        <v>446</v>
      </c>
      <c r="P1" s="153" t="s">
        <v>448</v>
      </c>
      <c r="Q1" s="153" t="s">
        <v>447</v>
      </c>
      <c r="R1" s="152" t="s">
        <v>375</v>
      </c>
      <c r="S1" s="152" t="s">
        <v>381</v>
      </c>
      <c r="T1" s="152" t="s">
        <v>376</v>
      </c>
      <c r="U1" s="152" t="s">
        <v>377</v>
      </c>
      <c r="V1" s="152" t="s">
        <v>378</v>
      </c>
      <c r="W1" s="152" t="s">
        <v>379</v>
      </c>
      <c r="X1" s="152" t="s">
        <v>380</v>
      </c>
      <c r="Y1" s="152" t="s">
        <v>387</v>
      </c>
      <c r="Z1" s="152" t="s">
        <v>388</v>
      </c>
      <c r="AA1" s="152" t="s">
        <v>389</v>
      </c>
      <c r="AB1" s="152" t="s">
        <v>271</v>
      </c>
      <c r="AC1" s="152" t="s">
        <v>422</v>
      </c>
      <c r="AD1" s="152" t="s">
        <v>390</v>
      </c>
      <c r="AE1" s="152" t="s">
        <v>423</v>
      </c>
      <c r="AF1" s="152" t="s">
        <v>391</v>
      </c>
      <c r="AG1" s="152" t="s">
        <v>392</v>
      </c>
      <c r="AH1" s="152" t="s">
        <v>393</v>
      </c>
      <c r="AI1" s="152" t="s">
        <v>394</v>
      </c>
      <c r="AJ1" s="152" t="s">
        <v>395</v>
      </c>
      <c r="AK1" s="152" t="s">
        <v>396</v>
      </c>
      <c r="AL1" s="152" t="s">
        <v>397</v>
      </c>
      <c r="AM1" s="152" t="s">
        <v>382</v>
      </c>
      <c r="AN1" s="152" t="s">
        <v>383</v>
      </c>
      <c r="AO1" s="152" t="s">
        <v>384</v>
      </c>
      <c r="AP1" s="152" t="s">
        <v>385</v>
      </c>
      <c r="AQ1" s="152" t="s">
        <v>386</v>
      </c>
      <c r="AR1" s="152" t="s">
        <v>398</v>
      </c>
      <c r="AS1" s="152" t="s">
        <v>399</v>
      </c>
      <c r="AT1" s="152" t="s">
        <v>400</v>
      </c>
      <c r="AU1" s="152" t="s">
        <v>272</v>
      </c>
      <c r="AV1" s="152" t="s">
        <v>424</v>
      </c>
      <c r="AW1" s="152" t="s">
        <v>401</v>
      </c>
      <c r="AX1" s="152" t="s">
        <v>425</v>
      </c>
      <c r="AY1" s="152" t="s">
        <v>402</v>
      </c>
      <c r="AZ1" s="152" t="s">
        <v>403</v>
      </c>
      <c r="BA1" s="152" t="s">
        <v>404</v>
      </c>
      <c r="BB1" s="152" t="s">
        <v>405</v>
      </c>
      <c r="BC1" s="152" t="s">
        <v>406</v>
      </c>
      <c r="BD1" s="152" t="s">
        <v>407</v>
      </c>
      <c r="BE1" s="152" t="s">
        <v>408</v>
      </c>
      <c r="BF1" s="152" t="s">
        <v>267</v>
      </c>
      <c r="BG1" s="152" t="s">
        <v>268</v>
      </c>
      <c r="BH1" s="152" t="s">
        <v>269</v>
      </c>
      <c r="BI1" s="152" t="s">
        <v>270</v>
      </c>
      <c r="BJ1" s="152" t="s">
        <v>426</v>
      </c>
      <c r="BK1" s="152" t="s">
        <v>427</v>
      </c>
      <c r="BL1" s="152" t="s">
        <v>428</v>
      </c>
      <c r="BM1" s="152" t="s">
        <v>429</v>
      </c>
      <c r="BN1" s="152" t="s">
        <v>430</v>
      </c>
      <c r="BO1" s="152" t="s">
        <v>431</v>
      </c>
      <c r="BP1" s="152" t="s">
        <v>432</v>
      </c>
      <c r="BQ1" s="152" t="s">
        <v>433</v>
      </c>
      <c r="BR1" s="152" t="s">
        <v>434</v>
      </c>
      <c r="BS1" s="152" t="s">
        <v>419</v>
      </c>
      <c r="BT1" s="152" t="s">
        <v>420</v>
      </c>
      <c r="BU1" s="152" t="s">
        <v>44</v>
      </c>
      <c r="BV1" s="152" t="s">
        <v>45</v>
      </c>
      <c r="BW1" s="162" t="s">
        <v>146</v>
      </c>
      <c r="BX1" s="162" t="s">
        <v>25</v>
      </c>
      <c r="BY1" s="148" t="s">
        <v>413</v>
      </c>
      <c r="BZ1" s="163" t="s">
        <v>373</v>
      </c>
      <c r="CA1" s="163" t="s">
        <v>355</v>
      </c>
      <c r="CB1" s="163" t="s">
        <v>442</v>
      </c>
      <c r="CC1" s="163" t="s">
        <v>441</v>
      </c>
      <c r="CD1" s="149" t="s">
        <v>19</v>
      </c>
      <c r="CE1" s="149" t="s">
        <v>18</v>
      </c>
      <c r="CF1" s="149" t="s">
        <v>26</v>
      </c>
      <c r="CG1" s="149" t="s">
        <v>27</v>
      </c>
      <c r="CH1" s="149" t="s">
        <v>276</v>
      </c>
      <c r="CI1" s="149" t="s">
        <v>54</v>
      </c>
      <c r="CJ1" s="149" t="s">
        <v>167</v>
      </c>
      <c r="CK1" s="162" t="s">
        <v>22</v>
      </c>
      <c r="CL1" s="162" t="s">
        <v>23</v>
      </c>
      <c r="CM1" s="162" t="s">
        <v>24</v>
      </c>
    </row>
    <row r="2" spans="1:91">
      <c r="A2" s="166" t="str">
        <f>F2 &amp; " " &amp; BW2 &amp; " " &amp; B2 &amp; " (" &amp; L2 &amp; ")"&amp;IF(D2&gt;0," "&amp;FIXED(CF2,0)&amp;"X"&amp;FIXED(CG2,0),"")</f>
        <v>ISOLA FR408 0.0025mm 0/0 (1x1080)</v>
      </c>
      <c r="B2" s="166" t="str">
        <f>FIXED(I2,4)&amp;"mm "&amp;"0/0"</f>
        <v>0.0025mm 0/0</v>
      </c>
      <c r="C2" s="53" t="str">
        <f>IF(OR(A2=A1,A2=A3),"DUPE","--")</f>
        <v>--</v>
      </c>
      <c r="D2" s="53">
        <v>0</v>
      </c>
      <c r="E2" s="53" t="s">
        <v>357</v>
      </c>
      <c r="F2" s="53" t="s">
        <v>213</v>
      </c>
      <c r="G2" s="53" t="s">
        <v>252</v>
      </c>
      <c r="H2" s="124">
        <v>1</v>
      </c>
      <c r="I2" s="127">
        <v>2.5000000000000001E-3</v>
      </c>
      <c r="J2" s="167">
        <v>175</v>
      </c>
      <c r="K2" s="167">
        <v>175</v>
      </c>
      <c r="L2" s="124" t="s">
        <v>288</v>
      </c>
      <c r="M2" s="53" t="s">
        <v>85</v>
      </c>
      <c r="N2" s="53">
        <v>49</v>
      </c>
      <c r="O2" s="53">
        <v>36</v>
      </c>
      <c r="P2" s="125">
        <v>49</v>
      </c>
      <c r="Q2" s="125">
        <v>60</v>
      </c>
      <c r="R2" s="165">
        <v>3.77</v>
      </c>
      <c r="S2" s="88">
        <v>1.78E-2</v>
      </c>
      <c r="T2" s="165">
        <v>0</v>
      </c>
      <c r="U2" s="165">
        <v>0</v>
      </c>
      <c r="V2" s="165">
        <v>0</v>
      </c>
      <c r="W2" s="165">
        <v>0</v>
      </c>
      <c r="X2" s="165">
        <v>0</v>
      </c>
      <c r="Y2" s="165">
        <v>0</v>
      </c>
      <c r="Z2" s="165">
        <v>0</v>
      </c>
      <c r="AA2" s="165">
        <v>0</v>
      </c>
      <c r="AB2" s="165">
        <v>0</v>
      </c>
      <c r="AC2" s="165">
        <v>0</v>
      </c>
      <c r="AD2" s="165">
        <v>0</v>
      </c>
      <c r="AE2" s="165">
        <v>0</v>
      </c>
      <c r="AF2" s="165">
        <v>0</v>
      </c>
      <c r="AG2" s="165">
        <v>0</v>
      </c>
      <c r="AH2" s="165">
        <v>0</v>
      </c>
      <c r="AI2" s="165">
        <v>0</v>
      </c>
      <c r="AJ2" s="165">
        <v>0</v>
      </c>
      <c r="AK2" s="165">
        <v>0</v>
      </c>
      <c r="AL2" s="165">
        <v>0</v>
      </c>
      <c r="AM2" s="88">
        <v>0</v>
      </c>
      <c r="AN2" s="88">
        <v>0</v>
      </c>
      <c r="AO2" s="88">
        <v>0</v>
      </c>
      <c r="AP2" s="88">
        <v>0</v>
      </c>
      <c r="AQ2" s="88">
        <v>0</v>
      </c>
      <c r="AR2" s="88">
        <v>0</v>
      </c>
      <c r="AS2" s="88">
        <v>0</v>
      </c>
      <c r="AT2" s="88">
        <v>0</v>
      </c>
      <c r="AU2" s="88">
        <v>0</v>
      </c>
      <c r="AV2" s="165">
        <v>0</v>
      </c>
      <c r="AW2" s="165">
        <v>0</v>
      </c>
      <c r="AX2" s="165">
        <v>0</v>
      </c>
      <c r="AY2" s="165">
        <v>0</v>
      </c>
      <c r="AZ2" s="165">
        <v>0</v>
      </c>
      <c r="BA2" s="165">
        <v>0</v>
      </c>
      <c r="BB2" s="165">
        <v>0</v>
      </c>
      <c r="BC2" s="165">
        <v>0</v>
      </c>
      <c r="BD2" s="165">
        <v>0</v>
      </c>
      <c r="BE2" s="165">
        <v>0</v>
      </c>
      <c r="BF2" s="124" t="b">
        <v>0</v>
      </c>
      <c r="BG2" s="124" t="b">
        <v>0</v>
      </c>
      <c r="BH2" s="124" t="b">
        <v>0</v>
      </c>
      <c r="BI2" s="124" t="b">
        <v>0</v>
      </c>
      <c r="BJ2" s="126" t="b">
        <v>0</v>
      </c>
      <c r="BK2" s="126" t="b">
        <v>0</v>
      </c>
      <c r="BL2" s="126" t="b">
        <v>0</v>
      </c>
      <c r="BM2" s="126" t="b">
        <v>0</v>
      </c>
      <c r="BN2" s="126" t="b">
        <v>0</v>
      </c>
      <c r="BO2" s="126" t="b">
        <v>0</v>
      </c>
      <c r="BP2" s="126" t="b">
        <v>0</v>
      </c>
      <c r="BQ2" s="126" t="b">
        <v>0</v>
      </c>
      <c r="BR2" s="126" t="b">
        <v>0</v>
      </c>
      <c r="BS2" s="123" t="s">
        <v>208</v>
      </c>
      <c r="BT2" s="123" t="s">
        <v>208</v>
      </c>
      <c r="BU2" s="168">
        <v>0</v>
      </c>
      <c r="BV2" s="168">
        <v>1</v>
      </c>
      <c r="BW2" s="166" t="s">
        <v>252</v>
      </c>
      <c r="BX2" s="169" t="s">
        <v>74</v>
      </c>
      <c r="BY2" s="53" t="str">
        <f>IFERROR(IF(SEARCH("7628",L2),"TRUE","FALSE"),"FALSE")</f>
        <v>FALSE</v>
      </c>
      <c r="BZ2" s="123" t="str">
        <f>IF(J2&lt;150,"Normal TG (&lt;150)",IF(J2&lt;170,"Middle TG (150-170)",IF(J2&gt;=170,"High TG (&gt;=170)","&lt;Not Defined&gt;")))</f>
        <v>High TG (&gt;=170)</v>
      </c>
      <c r="CA2" s="129">
        <f>I2</f>
        <v>2.5000000000000001E-3</v>
      </c>
      <c r="CB2" s="129">
        <f>IF(E2="Metric",I2*1000,I2*25.4*1000)</f>
        <v>63.5</v>
      </c>
      <c r="CC2" s="154">
        <f>IF(CB2&lt;25,0,IF(CB2&lt;120,25,IF(CB2&lt;165,120,IF(CB2&lt;300,165,IF(CB2&lt;500,300,IF(CB2&lt;786,500,IF(CB2&lt;1040,786,IF(CB2&lt;1675,1040,0))))))))</f>
        <v>25</v>
      </c>
      <c r="CD2" s="92">
        <f>IF(M2="C",VLOOKUP(CC2,CuWtTrans!$A$36:$G$46,7,TRUE),IF(M2="B",VLOOKUP(CC2,CuWtTrans!$A$36:$G$46,6,TRUE),IF(M2="A",VLOOKUP(CC2,CuWtTrans!$A$36:$G$46,5,TRUE))))</f>
        <v>13</v>
      </c>
      <c r="CE2" s="92">
        <f>CD2</f>
        <v>13</v>
      </c>
      <c r="CF2" s="124">
        <f>IF(P2=0,N2,IF(P2=N2,N2,O2))</f>
        <v>49</v>
      </c>
      <c r="CG2" s="87">
        <f>IF(P2=0,O2,IF(P2=N2,O2,N2))</f>
        <v>36</v>
      </c>
      <c r="CH2" s="125" t="str">
        <f>IF(P2=CG2,"Vertical","Horizontal")</f>
        <v>Horizontal</v>
      </c>
      <c r="CI2" s="170">
        <f>R2</f>
        <v>3.77</v>
      </c>
      <c r="CJ2" s="170">
        <f>S2</f>
        <v>1.78E-2</v>
      </c>
      <c r="CK2" s="171"/>
      <c r="CL2" s="171"/>
      <c r="CM2" s="171"/>
    </row>
    <row r="3" spans="1:91">
      <c r="A3" s="166" t="str">
        <f>F3 &amp; " " &amp; BW3 &amp; " " &amp; B3 &amp; " (" &amp; L3 &amp; ")"&amp;IF(D3&gt;0," "&amp;FIXED(CF3,0)&amp;"X"&amp;FIXED(CG3,0),"")</f>
        <v>ISOLA FR409 0.0030mm 0/0 (1x2113)</v>
      </c>
      <c r="B3" s="166" t="str">
        <f>FIXED(I3,4)&amp;"mm "&amp;"0/0"</f>
        <v>0.0030mm 0/0</v>
      </c>
      <c r="C3" s="53" t="str">
        <f>IF(OR(A3=A2,A3=A4),"DUPE","--")</f>
        <v>--</v>
      </c>
      <c r="D3" s="53">
        <v>0</v>
      </c>
      <c r="E3" s="53" t="s">
        <v>357</v>
      </c>
      <c r="F3" s="53" t="s">
        <v>213</v>
      </c>
      <c r="G3" s="53" t="s">
        <v>450</v>
      </c>
      <c r="H3" s="124">
        <v>1</v>
      </c>
      <c r="I3" s="127">
        <v>3.0000000000000001E-3</v>
      </c>
      <c r="J3" s="167">
        <v>175</v>
      </c>
      <c r="K3" s="167">
        <v>175</v>
      </c>
      <c r="L3" s="124" t="s">
        <v>289</v>
      </c>
      <c r="M3" s="53" t="s">
        <v>85</v>
      </c>
      <c r="N3" s="53">
        <v>49</v>
      </c>
      <c r="O3" s="53">
        <v>36</v>
      </c>
      <c r="P3" s="125">
        <v>49</v>
      </c>
      <c r="Q3" s="125">
        <v>50</v>
      </c>
      <c r="R3" s="165">
        <v>4.09</v>
      </c>
      <c r="S3" s="88">
        <v>1.5100000000000001E-2</v>
      </c>
      <c r="T3" s="165">
        <v>0</v>
      </c>
      <c r="U3" s="165">
        <v>0</v>
      </c>
      <c r="V3" s="165">
        <v>0</v>
      </c>
      <c r="W3" s="165">
        <v>0</v>
      </c>
      <c r="X3" s="165">
        <v>0</v>
      </c>
      <c r="Y3" s="165">
        <v>0</v>
      </c>
      <c r="Z3" s="165">
        <v>0</v>
      </c>
      <c r="AA3" s="165">
        <v>0</v>
      </c>
      <c r="AB3" s="165">
        <v>0</v>
      </c>
      <c r="AC3" s="165">
        <v>0</v>
      </c>
      <c r="AD3" s="165">
        <v>0</v>
      </c>
      <c r="AE3" s="165">
        <v>0</v>
      </c>
      <c r="AF3" s="165">
        <v>0</v>
      </c>
      <c r="AG3" s="165">
        <v>0</v>
      </c>
      <c r="AH3" s="165">
        <v>0</v>
      </c>
      <c r="AI3" s="165">
        <v>0</v>
      </c>
      <c r="AJ3" s="165">
        <v>0</v>
      </c>
      <c r="AK3" s="165">
        <v>0</v>
      </c>
      <c r="AL3" s="165">
        <v>0</v>
      </c>
      <c r="AM3" s="88">
        <v>0</v>
      </c>
      <c r="AN3" s="88">
        <v>0</v>
      </c>
      <c r="AO3" s="88">
        <v>0</v>
      </c>
      <c r="AP3" s="88">
        <v>0</v>
      </c>
      <c r="AQ3" s="88">
        <v>0</v>
      </c>
      <c r="AR3" s="88">
        <v>0</v>
      </c>
      <c r="AS3" s="88">
        <v>0</v>
      </c>
      <c r="AT3" s="88">
        <v>0</v>
      </c>
      <c r="AU3" s="88">
        <v>0</v>
      </c>
      <c r="AV3" s="165">
        <v>0</v>
      </c>
      <c r="AW3" s="165">
        <v>0</v>
      </c>
      <c r="AX3" s="165">
        <v>0</v>
      </c>
      <c r="AY3" s="165">
        <v>0</v>
      </c>
      <c r="AZ3" s="165">
        <v>0</v>
      </c>
      <c r="BA3" s="165">
        <v>0</v>
      </c>
      <c r="BB3" s="165">
        <v>0</v>
      </c>
      <c r="BC3" s="165">
        <v>0</v>
      </c>
      <c r="BD3" s="165">
        <v>0</v>
      </c>
      <c r="BE3" s="165">
        <v>0</v>
      </c>
      <c r="BF3" s="124" t="b">
        <v>0</v>
      </c>
      <c r="BG3" s="124" t="b">
        <v>0</v>
      </c>
      <c r="BH3" s="124" t="b">
        <v>0</v>
      </c>
      <c r="BI3" s="124" t="b">
        <v>0</v>
      </c>
      <c r="BJ3" s="126" t="b">
        <v>0</v>
      </c>
      <c r="BK3" s="126" t="b">
        <v>0</v>
      </c>
      <c r="BL3" s="126" t="b">
        <v>0</v>
      </c>
      <c r="BM3" s="126" t="b">
        <v>0</v>
      </c>
      <c r="BN3" s="126" t="b">
        <v>0</v>
      </c>
      <c r="BO3" s="126" t="b">
        <v>0</v>
      </c>
      <c r="BP3" s="126" t="b">
        <v>0</v>
      </c>
      <c r="BQ3" s="126" t="b">
        <v>0</v>
      </c>
      <c r="BR3" s="126" t="b">
        <v>0</v>
      </c>
      <c r="BS3" s="123" t="s">
        <v>208</v>
      </c>
      <c r="BT3" s="123" t="s">
        <v>208</v>
      </c>
      <c r="BU3" s="168">
        <v>0</v>
      </c>
      <c r="BV3" s="168">
        <v>1</v>
      </c>
      <c r="BW3" s="166" t="s">
        <v>450</v>
      </c>
      <c r="BX3" s="169" t="s">
        <v>74</v>
      </c>
      <c r="BY3" s="53" t="str">
        <f>IFERROR(IF(SEARCH("7628",L3),"TRUE","FALSE"),"FALSE")</f>
        <v>FALSE</v>
      </c>
      <c r="BZ3" s="123" t="str">
        <f>IF(J3&lt;150,"Normal TG (&lt;150)",IF(J3&lt;170,"Middle TG (150-170)",IF(J3&gt;=170,"High TG (&gt;=170)","&lt;Not Defined&gt;")))</f>
        <v>High TG (&gt;=170)</v>
      </c>
      <c r="CA3" s="129">
        <f>I3</f>
        <v>3.0000000000000001E-3</v>
      </c>
      <c r="CB3" s="129">
        <f>IF(E3="Metric",I3*1000,I3*25.4*1000)</f>
        <v>76.2</v>
      </c>
      <c r="CC3" s="154">
        <f t="shared" ref="CC3" si="0">IF(CB3&lt;25,0,IF(CB3&lt;120,25,IF(CB3&lt;165,120,IF(CB3&lt;300,165,IF(CB3&lt;500,300,IF(CB3&lt;786,500,IF(CB3&lt;1040,786,IF(CB3&lt;1675,1040,0))))))))</f>
        <v>25</v>
      </c>
      <c r="CD3" s="92">
        <f>IF(M3="C",VLOOKUP(CC3,CuWtTrans!$A$36:$G$46,7,TRUE),IF(M3="B",VLOOKUP(CC3,CuWtTrans!$A$36:$G$46,6,TRUE),IF(M3="A",VLOOKUP(CC3,CuWtTrans!$A$36:$G$46,5,TRUE))))</f>
        <v>13</v>
      </c>
      <c r="CE3" s="92">
        <f t="shared" ref="CE3" si="1">CD3</f>
        <v>13</v>
      </c>
      <c r="CF3" s="124">
        <f>IF(P3=0,N3,IF(P3=N3,N3,O3))</f>
        <v>49</v>
      </c>
      <c r="CG3" s="87">
        <f>IF(P3=0,O3,IF(P3=N3,O3,N3))</f>
        <v>36</v>
      </c>
      <c r="CH3" s="125" t="str">
        <f>IF(P3=CG3,"Vertical","Horizontal")</f>
        <v>Horizontal</v>
      </c>
      <c r="CI3" s="170">
        <f>R3</f>
        <v>4.09</v>
      </c>
      <c r="CJ3" s="170">
        <f>S3</f>
        <v>1.5100000000000001E-2</v>
      </c>
      <c r="CK3" s="171"/>
      <c r="CL3" s="171"/>
      <c r="CM3" s="171"/>
    </row>
    <row r="4" spans="1:91">
      <c r="BU4" s="173"/>
      <c r="BV4" s="171"/>
      <c r="BX4" s="169"/>
      <c r="CK4" s="171"/>
      <c r="CL4" s="171"/>
      <c r="CM4" s="171"/>
    </row>
    <row r="5" spans="1:91">
      <c r="BU5" s="173"/>
      <c r="BV5" s="171"/>
      <c r="BX5" s="169"/>
      <c r="CK5" s="171"/>
      <c r="CL5" s="171"/>
      <c r="CM5" s="171"/>
    </row>
    <row r="6" spans="1:91">
      <c r="BU6" s="173"/>
      <c r="BV6" s="171"/>
      <c r="BX6" s="169"/>
      <c r="CK6" s="171"/>
      <c r="CL6" s="171"/>
      <c r="CM6" s="171"/>
    </row>
  </sheetData>
  <phoneticPr fontId="3" type="noConversion"/>
  <conditionalFormatting sqref="AX1:BE1 BJ1">
    <cfRule type="cellIs" dxfId="33" priority="30" stopIfTrue="1" operator="equal">
      <formula>"TBA"</formula>
    </cfRule>
    <cfRule type="cellIs" dxfId="32" priority="31" stopIfTrue="1" operator="equal">
      <formula>"Unknown"</formula>
    </cfRule>
  </conditionalFormatting>
  <conditionalFormatting sqref="CI1">
    <cfRule type="cellIs" dxfId="31" priority="37" stopIfTrue="1" operator="equal">
      <formula>"Unknown"</formula>
    </cfRule>
  </conditionalFormatting>
  <conditionalFormatting sqref="F1">
    <cfRule type="cellIs" dxfId="30" priority="64" stopIfTrue="1" operator="equal">
      <formula>"TBA"</formula>
    </cfRule>
    <cfRule type="cellIs" dxfId="29" priority="65" stopIfTrue="1" operator="equal">
      <formula>"Unknown"</formula>
    </cfRule>
  </conditionalFormatting>
  <conditionalFormatting sqref="BF1:BI1 R1:AU1">
    <cfRule type="cellIs" dxfId="28" priority="33" stopIfTrue="1" operator="equal">
      <formula>"TBA"</formula>
    </cfRule>
    <cfRule type="cellIs" dxfId="27" priority="34" stopIfTrue="1" operator="equal">
      <formula>"Unknown"</formula>
    </cfRule>
  </conditionalFormatting>
  <conditionalFormatting sqref="P1:Q1">
    <cfRule type="cellIs" dxfId="26" priority="32" stopIfTrue="1" operator="equal">
      <formula>"Unknown"</formula>
    </cfRule>
  </conditionalFormatting>
  <conditionalFormatting sqref="AV1:AW1">
    <cfRule type="cellIs" dxfId="25" priority="28" stopIfTrue="1" operator="equal">
      <formula>"TBA"</formula>
    </cfRule>
    <cfRule type="cellIs" dxfId="24" priority="29" stopIfTrue="1" operator="equal">
      <formula>"Unknown"</formula>
    </cfRule>
  </conditionalFormatting>
  <conditionalFormatting sqref="BO1:BR1">
    <cfRule type="cellIs" dxfId="23" priority="26" stopIfTrue="1" operator="equal">
      <formula>"TBA"</formula>
    </cfRule>
    <cfRule type="cellIs" dxfId="22" priority="27" stopIfTrue="1" operator="equal">
      <formula>"Unknown"</formula>
    </cfRule>
  </conditionalFormatting>
  <conditionalFormatting sqref="BK1:BN1">
    <cfRule type="cellIs" dxfId="21" priority="24" stopIfTrue="1" operator="equal">
      <formula>"TBA"</formula>
    </cfRule>
    <cfRule type="cellIs" dxfId="20" priority="25" stopIfTrue="1" operator="equal">
      <formula>"Unknown"</formula>
    </cfRule>
  </conditionalFormatting>
  <conditionalFormatting sqref="CH1">
    <cfRule type="cellIs" dxfId="19" priority="21" stopIfTrue="1" operator="equal">
      <formula>"Unknown"</formula>
    </cfRule>
  </conditionalFormatting>
  <conditionalFormatting sqref="CF1">
    <cfRule type="cellIs" dxfId="18" priority="20" stopIfTrue="1" operator="equal">
      <formula>"Unknown"</formula>
    </cfRule>
  </conditionalFormatting>
  <conditionalFormatting sqref="CG1">
    <cfRule type="cellIs" dxfId="17" priority="19" stopIfTrue="1" operator="equal">
      <formula>"Unknown"</formula>
    </cfRule>
  </conditionalFormatting>
  <conditionalFormatting sqref="BU1:BV1">
    <cfRule type="cellIs" dxfId="16" priority="17" stopIfTrue="1" operator="equal">
      <formula>"TBA"</formula>
    </cfRule>
    <cfRule type="cellIs" dxfId="15" priority="18" stopIfTrue="1" operator="equal">
      <formula>"Unknown"</formula>
    </cfRule>
  </conditionalFormatting>
  <conditionalFormatting sqref="BS1:BT1">
    <cfRule type="cellIs" dxfId="14" priority="13" stopIfTrue="1" operator="equal">
      <formula>"TBA"</formula>
    </cfRule>
    <cfRule type="cellIs" dxfId="13" priority="14" stopIfTrue="1" operator="equal">
      <formula>"Unknown"</formula>
    </cfRule>
  </conditionalFormatting>
  <conditionalFormatting sqref="BY1">
    <cfRule type="cellIs" dxfId="12" priority="10" stopIfTrue="1" operator="equal">
      <formula>"TBA"</formula>
    </cfRule>
    <cfRule type="cellIs" dxfId="11" priority="11" stopIfTrue="1" operator="equal">
      <formula>"Unknown"</formula>
    </cfRule>
  </conditionalFormatting>
  <conditionalFormatting sqref="L1:M1">
    <cfRule type="cellIs" dxfId="10" priority="8" stopIfTrue="1" operator="equal">
      <formula>"TBA"</formula>
    </cfRule>
    <cfRule type="cellIs" dxfId="9" priority="9" stopIfTrue="1" operator="equal">
      <formula>"Unknown"</formula>
    </cfRule>
  </conditionalFormatting>
  <conditionalFormatting sqref="H1">
    <cfRule type="cellIs" dxfId="8" priority="6" stopIfTrue="1" operator="equal">
      <formula>"TBA"</formula>
    </cfRule>
    <cfRule type="cellIs" dxfId="7" priority="7" stopIfTrue="1" operator="equal">
      <formula>"Unknown"</formula>
    </cfRule>
  </conditionalFormatting>
  <conditionalFormatting sqref="I1">
    <cfRule type="cellIs" dxfId="6" priority="4" stopIfTrue="1" operator="equal">
      <formula>"TBA"</formula>
    </cfRule>
    <cfRule type="cellIs" dxfId="5" priority="5" stopIfTrue="1" operator="equal">
      <formula>"Unknown"</formula>
    </cfRule>
  </conditionalFormatting>
  <conditionalFormatting sqref="CE1">
    <cfRule type="cellIs" dxfId="4" priority="3" stopIfTrue="1" operator="equal">
      <formula>"Unknown"</formula>
    </cfRule>
  </conditionalFormatting>
  <conditionalFormatting sqref="CD1">
    <cfRule type="cellIs" dxfId="3" priority="2" stopIfTrue="1" operator="equal">
      <formula>"Unknown"</formula>
    </cfRule>
  </conditionalFormatting>
  <conditionalFormatting sqref="CJ1">
    <cfRule type="cellIs" dxfId="2" priority="1" stopIfTrue="1" operator="equal">
      <formula>"Unknown"</formula>
    </cfRule>
  </conditionalFormatting>
  <dataValidations xWindow="600" yWindow="390" count="4">
    <dataValidation type="list" allowBlank="1" showInputMessage="1" showErrorMessage="1" sqref="E2:E3">
      <formula1>"Imperial,Metric"</formula1>
    </dataValidation>
    <dataValidation type="list" allowBlank="1" showInputMessage="1" showErrorMessage="1" sqref="CH2:CH3">
      <formula1>"Ignore,Vertical,Horizontal"</formula1>
    </dataValidation>
    <dataValidation type="list" allowBlank="1" showInputMessage="1" showErrorMessage="1" sqref="M2:M3">
      <formula1>"A,B,C"</formula1>
    </dataValidation>
    <dataValidation type="list" allowBlank="1" showInputMessage="1" showErrorMessage="1" sqref="BX2:BX65422">
      <formula1>"'false,'true"</formula1>
    </dataValidation>
  </dataValidations>
  <pageMargins left="0.75" right="0.75" top="1" bottom="1" header="0.5" footer="0.5"/>
  <pageSetup paperSize="9" scale="50" orientation="landscape" r:id="rId1"/>
  <headerFooter alignWithMargins="0"/>
  <legacyDrawing r:id="rId2"/>
  <extLst>
    <ext xmlns:x14="http://schemas.microsoft.com/office/spreadsheetml/2009/9/main" uri="{CCE6A557-97BC-4b89-ADB6-D9C93CAAB3DF}">
      <x14:dataValidations xmlns:xm="http://schemas.microsoft.com/office/excel/2006/main" xWindow="600" yWindow="390" count="3">
        <x14:dataValidation type="list" allowBlank="1" showInputMessage="1" showErrorMessage="1">
          <x14:formula1>
            <xm:f>Enums!$N$4:$N$27</xm:f>
          </x14:formula1>
          <xm:sqref>F2:F3</xm:sqref>
        </x14:dataValidation>
        <x14:dataValidation type="list" allowBlank="1" showInputMessage="1" showErrorMessage="1">
          <x14:formula1>
            <xm:f>Enums!$AB$4:$AB$15</xm:f>
          </x14:formula1>
          <xm:sqref>BZ1:BZ3</xm:sqref>
        </x14:dataValidation>
        <x14:dataValidation type="list" allowBlank="1" showInputMessage="1" showErrorMessage="1">
          <x14:formula1>
            <xm:f>Enums!$L$6:$L$26</xm:f>
          </x14:formula1>
          <xm:sqref>G2:G3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Q98"/>
  <sheetViews>
    <sheetView workbookViewId="0">
      <selection activeCell="F7" sqref="F7"/>
    </sheetView>
  </sheetViews>
  <sheetFormatPr defaultRowHeight="12.75"/>
  <cols>
    <col min="1" max="1" width="22.85546875" style="37" customWidth="1"/>
    <col min="2" max="2" width="9.140625" style="37" customWidth="1"/>
    <col min="3" max="3" width="20.7109375" style="37" customWidth="1"/>
    <col min="4" max="4" width="17.7109375" style="37" customWidth="1"/>
    <col min="5" max="5" width="11.5703125" style="38" bestFit="1" customWidth="1"/>
    <col min="6" max="6" width="15" style="38" bestFit="1" customWidth="1"/>
    <col min="7" max="7" width="17.5703125" style="38" customWidth="1"/>
    <col min="8" max="8" width="11" style="37" bestFit="1" customWidth="1"/>
    <col min="9" max="9" width="18.28515625" style="37" customWidth="1"/>
    <col min="10" max="10" width="14.5703125" style="37" bestFit="1" customWidth="1"/>
    <col min="11" max="11" width="9.140625" style="37" customWidth="1"/>
    <col min="12" max="12" width="10.85546875" style="37" bestFit="1" customWidth="1"/>
    <col min="13" max="13" width="15.140625" style="37" customWidth="1"/>
    <col min="14" max="14" width="33" style="37" bestFit="1" customWidth="1"/>
    <col min="15" max="15" width="32" style="37" bestFit="1" customWidth="1"/>
    <col min="16" max="16" width="18.5703125" style="37" customWidth="1"/>
    <col min="17" max="17" width="19" style="37" customWidth="1"/>
    <col min="18" max="18" width="20.42578125" style="37" customWidth="1"/>
    <col min="19" max="19" width="21.7109375" style="37" customWidth="1"/>
    <col min="20" max="20" width="18.140625" style="37" customWidth="1"/>
    <col min="21" max="21" width="15.28515625" style="37" customWidth="1"/>
    <col min="22" max="22" width="33.28515625" style="37" customWidth="1"/>
    <col min="23" max="23" width="33" style="37" bestFit="1" customWidth="1"/>
    <col min="24" max="24" width="19.5703125" style="37" customWidth="1"/>
    <col min="25" max="25" width="18.140625" style="37" customWidth="1"/>
    <col min="26" max="26" width="18.7109375" style="37" customWidth="1"/>
    <col min="27" max="27" width="30" style="37" customWidth="1"/>
    <col min="28" max="28" width="17.42578125" style="37" customWidth="1"/>
    <col min="29" max="29" width="17.140625" style="37" customWidth="1"/>
    <col min="30" max="30" width="25.42578125" style="37" customWidth="1"/>
    <col min="31" max="31" width="24.7109375" style="37" customWidth="1"/>
    <col min="32" max="33" width="9.140625" style="37" customWidth="1"/>
    <col min="34" max="34" width="13.7109375" style="37" customWidth="1"/>
    <col min="35" max="36" width="14.85546875" style="37" customWidth="1"/>
    <col min="37" max="37" width="13.85546875" style="37" customWidth="1"/>
    <col min="38" max="38" width="10.42578125" style="37" customWidth="1"/>
    <col min="39" max="39" width="16.5703125" style="38" customWidth="1"/>
    <col min="40" max="40" width="15.7109375" style="37" customWidth="1"/>
    <col min="41" max="41" width="9.140625" style="38" customWidth="1"/>
    <col min="42" max="42" width="12.85546875" style="38" customWidth="1"/>
    <col min="43" max="43" width="16.5703125" style="38" customWidth="1"/>
    <col min="44" max="16384" width="9.140625" style="40"/>
  </cols>
  <sheetData>
    <row r="1" spans="1:43" s="12" customFormat="1" ht="85.5" customHeight="1">
      <c r="A1" s="12" t="s">
        <v>50</v>
      </c>
      <c r="B1" s="12" t="s">
        <v>20</v>
      </c>
      <c r="C1" s="12" t="s">
        <v>30</v>
      </c>
      <c r="D1" s="12" t="s">
        <v>21</v>
      </c>
      <c r="E1" s="13" t="s">
        <v>22</v>
      </c>
      <c r="F1" s="13" t="s">
        <v>23</v>
      </c>
      <c r="G1" s="13" t="s">
        <v>128</v>
      </c>
      <c r="H1" s="12" t="s">
        <v>25</v>
      </c>
      <c r="I1" s="12" t="s">
        <v>26</v>
      </c>
      <c r="J1" s="12" t="s">
        <v>27</v>
      </c>
      <c r="K1" s="12" t="s">
        <v>28</v>
      </c>
      <c r="L1" s="12" t="s">
        <v>29</v>
      </c>
      <c r="M1" s="12" t="s">
        <v>113</v>
      </c>
      <c r="N1" s="12" t="s">
        <v>102</v>
      </c>
      <c r="O1" s="12" t="s">
        <v>103</v>
      </c>
      <c r="P1" s="12" t="s">
        <v>109</v>
      </c>
      <c r="Q1" s="12" t="s">
        <v>110</v>
      </c>
      <c r="R1" s="12" t="s">
        <v>111</v>
      </c>
      <c r="S1" s="12" t="s">
        <v>112</v>
      </c>
      <c r="T1" s="12" t="s">
        <v>114</v>
      </c>
      <c r="U1" s="12" t="s">
        <v>115</v>
      </c>
      <c r="V1" s="12" t="s">
        <v>116</v>
      </c>
      <c r="W1" s="12" t="s">
        <v>104</v>
      </c>
      <c r="X1" s="12" t="s">
        <v>105</v>
      </c>
      <c r="Y1" s="12" t="s">
        <v>8</v>
      </c>
      <c r="Z1" s="12" t="s">
        <v>106</v>
      </c>
      <c r="AA1" s="12" t="s">
        <v>107</v>
      </c>
      <c r="AB1" s="12" t="s">
        <v>108</v>
      </c>
      <c r="AC1" s="12" t="s">
        <v>63</v>
      </c>
      <c r="AD1" s="12" t="s">
        <v>117</v>
      </c>
      <c r="AE1" s="12" t="s">
        <v>118</v>
      </c>
      <c r="AF1" s="12" t="s">
        <v>14</v>
      </c>
      <c r="AG1" s="12" t="s">
        <v>15</v>
      </c>
      <c r="AH1" s="12" t="s">
        <v>51</v>
      </c>
      <c r="AI1" s="12" t="s">
        <v>64</v>
      </c>
      <c r="AJ1" s="12" t="s">
        <v>65</v>
      </c>
      <c r="AK1" s="12" t="s">
        <v>66</v>
      </c>
      <c r="AL1" s="12" t="s">
        <v>44</v>
      </c>
      <c r="AM1" s="13" t="s">
        <v>67</v>
      </c>
      <c r="AN1" s="12" t="s">
        <v>45</v>
      </c>
      <c r="AO1" s="13" t="s">
        <v>86</v>
      </c>
      <c r="AP1" s="13" t="s">
        <v>87</v>
      </c>
      <c r="AQ1" s="13" t="s">
        <v>88</v>
      </c>
    </row>
    <row r="2" spans="1:43">
      <c r="A2" s="37" t="str">
        <f>D2&amp;" " &amp;B2&amp;" " &amp;C2</f>
        <v>Example 33N Arlon</v>
      </c>
      <c r="B2" s="37" t="s">
        <v>68</v>
      </c>
      <c r="C2" s="37" t="s">
        <v>69</v>
      </c>
      <c r="D2" s="37" t="s">
        <v>119</v>
      </c>
      <c r="E2" s="38" t="s">
        <v>120</v>
      </c>
      <c r="F2" s="39" t="s">
        <v>121</v>
      </c>
      <c r="G2" s="38" t="s">
        <v>129</v>
      </c>
      <c r="H2" s="11" t="s">
        <v>74</v>
      </c>
      <c r="I2" s="37">
        <v>24</v>
      </c>
      <c r="J2" s="37">
        <v>36</v>
      </c>
      <c r="K2" s="37" t="s">
        <v>6</v>
      </c>
      <c r="L2" s="37" t="s">
        <v>52</v>
      </c>
      <c r="M2" s="37">
        <v>10</v>
      </c>
      <c r="N2" s="37">
        <v>1</v>
      </c>
      <c r="O2" s="37">
        <v>1</v>
      </c>
      <c r="P2" s="37">
        <v>4</v>
      </c>
      <c r="Q2" s="37">
        <v>1.5</v>
      </c>
      <c r="R2" s="37">
        <v>10</v>
      </c>
      <c r="S2" s="37">
        <v>4</v>
      </c>
      <c r="T2" s="37">
        <v>4.2</v>
      </c>
      <c r="U2" s="37">
        <v>10</v>
      </c>
      <c r="V2" s="37">
        <v>10</v>
      </c>
      <c r="W2" s="37">
        <v>1</v>
      </c>
      <c r="X2" s="37">
        <v>1</v>
      </c>
      <c r="Y2" s="37">
        <v>1</v>
      </c>
      <c r="Z2" s="37">
        <v>1.4</v>
      </c>
      <c r="AA2" s="37">
        <v>0.14000000000000001</v>
      </c>
      <c r="AB2" s="37">
        <v>0.02</v>
      </c>
      <c r="AC2" s="37" t="s">
        <v>71</v>
      </c>
      <c r="AD2" s="37">
        <v>1</v>
      </c>
      <c r="AE2" s="37">
        <v>0.5</v>
      </c>
      <c r="AF2" s="37">
        <v>200</v>
      </c>
      <c r="AG2" s="37">
        <v>150</v>
      </c>
      <c r="AH2" s="37" t="s">
        <v>73</v>
      </c>
      <c r="AI2" s="37">
        <v>5</v>
      </c>
      <c r="AJ2" s="37">
        <v>10</v>
      </c>
      <c r="AK2" s="37">
        <v>15</v>
      </c>
      <c r="AL2" s="37">
        <v>10</v>
      </c>
      <c r="AM2" s="38" t="s">
        <v>120</v>
      </c>
      <c r="AN2" s="37">
        <v>60</v>
      </c>
      <c r="AO2" s="38">
        <v>10.5</v>
      </c>
      <c r="AP2" s="38">
        <v>1.5</v>
      </c>
      <c r="AQ2" s="38">
        <v>1.5</v>
      </c>
    </row>
    <row r="3" spans="1:43">
      <c r="H3" s="11"/>
    </row>
    <row r="4" spans="1:43">
      <c r="H4" s="11"/>
    </row>
    <row r="5" spans="1:43">
      <c r="H5" s="11"/>
    </row>
    <row r="6" spans="1:43">
      <c r="H6" s="11"/>
    </row>
    <row r="7" spans="1:43">
      <c r="H7" s="11"/>
    </row>
    <row r="8" spans="1:43">
      <c r="H8" s="11"/>
    </row>
    <row r="9" spans="1:43">
      <c r="H9" s="11"/>
    </row>
    <row r="10" spans="1:43">
      <c r="H10" s="11"/>
    </row>
    <row r="11" spans="1:43">
      <c r="H11" s="11"/>
    </row>
    <row r="12" spans="1:43">
      <c r="H12" s="11"/>
    </row>
    <row r="13" spans="1:43">
      <c r="H13" s="11"/>
    </row>
    <row r="14" spans="1:43">
      <c r="H14" s="11"/>
    </row>
    <row r="15" spans="1:43">
      <c r="H15" s="11"/>
    </row>
    <row r="16" spans="1:43">
      <c r="H16" s="11"/>
    </row>
    <row r="17" spans="8:8">
      <c r="H17" s="11"/>
    </row>
    <row r="18" spans="8:8">
      <c r="H18" s="11"/>
    </row>
    <row r="19" spans="8:8">
      <c r="H19" s="11"/>
    </row>
    <row r="20" spans="8:8">
      <c r="H20" s="11"/>
    </row>
    <row r="21" spans="8:8">
      <c r="H21" s="11"/>
    </row>
    <row r="22" spans="8:8">
      <c r="H22" s="11"/>
    </row>
    <row r="23" spans="8:8">
      <c r="H23" s="11"/>
    </row>
    <row r="24" spans="8:8">
      <c r="H24" s="11"/>
    </row>
    <row r="25" spans="8:8">
      <c r="H25" s="11"/>
    </row>
    <row r="26" spans="8:8">
      <c r="H26" s="11"/>
    </row>
    <row r="27" spans="8:8">
      <c r="H27" s="11"/>
    </row>
    <row r="28" spans="8:8">
      <c r="H28" s="11"/>
    </row>
    <row r="29" spans="8:8">
      <c r="H29" s="11"/>
    </row>
    <row r="30" spans="8:8">
      <c r="H30" s="11"/>
    </row>
    <row r="31" spans="8:8">
      <c r="H31" s="11"/>
    </row>
    <row r="32" spans="8:8">
      <c r="H32" s="11"/>
    </row>
    <row r="33" spans="8:8">
      <c r="H33" s="11"/>
    </row>
    <row r="34" spans="8:8">
      <c r="H34" s="11"/>
    </row>
    <row r="35" spans="8:8">
      <c r="H35" s="11"/>
    </row>
    <row r="36" spans="8:8">
      <c r="H36" s="11"/>
    </row>
    <row r="37" spans="8:8">
      <c r="H37" s="11"/>
    </row>
    <row r="38" spans="8:8">
      <c r="H38" s="11"/>
    </row>
    <row r="39" spans="8:8">
      <c r="H39" s="11"/>
    </row>
    <row r="40" spans="8:8">
      <c r="H40" s="11"/>
    </row>
    <row r="41" spans="8:8">
      <c r="H41" s="11"/>
    </row>
    <row r="42" spans="8:8">
      <c r="H42" s="11"/>
    </row>
    <row r="43" spans="8:8">
      <c r="H43" s="11"/>
    </row>
    <row r="44" spans="8:8">
      <c r="H44" s="11"/>
    </row>
    <row r="45" spans="8:8">
      <c r="H45" s="11"/>
    </row>
    <row r="46" spans="8:8">
      <c r="H46" s="11"/>
    </row>
    <row r="47" spans="8:8">
      <c r="H47" s="11"/>
    </row>
    <row r="48" spans="8:8">
      <c r="H48" s="11"/>
    </row>
    <row r="49" spans="8:8">
      <c r="H49" s="11"/>
    </row>
    <row r="50" spans="8:8">
      <c r="H50" s="11"/>
    </row>
    <row r="51" spans="8:8">
      <c r="H51" s="11"/>
    </row>
    <row r="52" spans="8:8">
      <c r="H52" s="11"/>
    </row>
    <row r="53" spans="8:8">
      <c r="H53" s="11"/>
    </row>
    <row r="54" spans="8:8">
      <c r="H54" s="11"/>
    </row>
    <row r="55" spans="8:8">
      <c r="H55" s="11"/>
    </row>
    <row r="56" spans="8:8">
      <c r="H56" s="11"/>
    </row>
    <row r="57" spans="8:8">
      <c r="H57" s="11"/>
    </row>
    <row r="58" spans="8:8">
      <c r="H58" s="11"/>
    </row>
    <row r="59" spans="8:8">
      <c r="H59" s="11"/>
    </row>
    <row r="60" spans="8:8">
      <c r="H60" s="11"/>
    </row>
    <row r="61" spans="8:8">
      <c r="H61" s="11"/>
    </row>
    <row r="62" spans="8:8">
      <c r="H62" s="11"/>
    </row>
    <row r="63" spans="8:8">
      <c r="H63" s="11"/>
    </row>
    <row r="64" spans="8:8">
      <c r="H64" s="11"/>
    </row>
    <row r="65" spans="8:8">
      <c r="H65" s="11"/>
    </row>
    <row r="66" spans="8:8">
      <c r="H66" s="11"/>
    </row>
    <row r="67" spans="8:8">
      <c r="H67" s="11"/>
    </row>
    <row r="68" spans="8:8">
      <c r="H68" s="11"/>
    </row>
    <row r="69" spans="8:8">
      <c r="H69" s="11"/>
    </row>
    <row r="70" spans="8:8">
      <c r="H70" s="11"/>
    </row>
    <row r="71" spans="8:8">
      <c r="H71" s="11"/>
    </row>
    <row r="72" spans="8:8">
      <c r="H72" s="11"/>
    </row>
    <row r="73" spans="8:8">
      <c r="H73" s="11"/>
    </row>
    <row r="74" spans="8:8">
      <c r="H74" s="11"/>
    </row>
    <row r="75" spans="8:8">
      <c r="H75" s="11"/>
    </row>
    <row r="76" spans="8:8">
      <c r="H76" s="11"/>
    </row>
    <row r="77" spans="8:8">
      <c r="H77" s="11"/>
    </row>
    <row r="78" spans="8:8">
      <c r="H78" s="11"/>
    </row>
    <row r="79" spans="8:8">
      <c r="H79" s="11"/>
    </row>
    <row r="80" spans="8:8">
      <c r="H80" s="11"/>
    </row>
    <row r="81" spans="8:8">
      <c r="H81" s="11"/>
    </row>
    <row r="82" spans="8:8">
      <c r="H82" s="11"/>
    </row>
    <row r="83" spans="8:8">
      <c r="H83" s="11"/>
    </row>
    <row r="84" spans="8:8">
      <c r="H84" s="11"/>
    </row>
    <row r="85" spans="8:8">
      <c r="H85" s="11"/>
    </row>
    <row r="86" spans="8:8">
      <c r="H86" s="11"/>
    </row>
    <row r="87" spans="8:8">
      <c r="H87" s="11"/>
    </row>
    <row r="88" spans="8:8">
      <c r="H88" s="11"/>
    </row>
    <row r="89" spans="8:8">
      <c r="H89" s="11"/>
    </row>
    <row r="90" spans="8:8">
      <c r="H90" s="11"/>
    </row>
    <row r="91" spans="8:8">
      <c r="H91" s="11"/>
    </row>
    <row r="92" spans="8:8">
      <c r="H92" s="11"/>
    </row>
    <row r="93" spans="8:8">
      <c r="H93" s="11"/>
    </row>
    <row r="94" spans="8:8">
      <c r="H94" s="11"/>
    </row>
    <row r="95" spans="8:8">
      <c r="H95" s="11"/>
    </row>
    <row r="96" spans="8:8">
      <c r="H96" s="11"/>
    </row>
    <row r="97" spans="8:8">
      <c r="H97" s="11"/>
    </row>
    <row r="98" spans="8:8">
      <c r="H98" s="11"/>
    </row>
  </sheetData>
  <phoneticPr fontId="12" type="noConversion"/>
  <conditionalFormatting sqref="A1:XFD1">
    <cfRule type="cellIs" dxfId="1" priority="1" stopIfTrue="1" operator="equal">
      <formula>"TBA"</formula>
    </cfRule>
    <cfRule type="cellIs" dxfId="0" priority="2" stopIfTrue="1" operator="equal">
      <formula>"Unknown"</formula>
    </cfRule>
  </conditionalFormatting>
  <dataValidations count="1">
    <dataValidation type="list" allowBlank="1" showInputMessage="1" showErrorMessage="1" sqref="H2:H99">
      <formula1>"'false,'true"</formula1>
    </dataValidation>
  </dataValidations>
  <pageMargins left="0.75" right="0.75" top="1" bottom="1" header="0.5" footer="0.5"/>
  <pageSetup paperSize="9"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2:Q30"/>
  <sheetViews>
    <sheetView workbookViewId="0">
      <pane xSplit="1" ySplit="2" topLeftCell="B3" activePane="bottomRight" state="frozen"/>
      <selection activeCell="J8" sqref="J8"/>
      <selection pane="topRight" activeCell="J8" sqref="J8"/>
      <selection pane="bottomLeft" activeCell="J8" sqref="J8"/>
      <selection pane="bottomRight" activeCell="M20" sqref="M20"/>
    </sheetView>
  </sheetViews>
  <sheetFormatPr defaultRowHeight="12.75"/>
  <cols>
    <col min="1" max="1" width="9.7109375" style="132" customWidth="1"/>
    <col min="2" max="2" width="18.5703125" style="132" customWidth="1"/>
    <col min="3" max="3" width="6.5703125" style="132" bestFit="1" customWidth="1"/>
    <col min="4" max="4" width="4.42578125" style="132" bestFit="1" customWidth="1"/>
    <col min="5" max="5" width="6.5703125" style="100" customWidth="1"/>
    <col min="6" max="6" width="9.5703125" style="132" customWidth="1"/>
    <col min="7" max="7" width="4.85546875" style="132" customWidth="1"/>
    <col min="8" max="8" width="7.5703125" style="132" bestFit="1" customWidth="1"/>
    <col min="9" max="9" width="9.5703125" style="132" bestFit="1" customWidth="1"/>
    <col min="10" max="10" width="7.7109375" style="132" customWidth="1"/>
    <col min="11" max="11" width="10.5703125" style="132" customWidth="1"/>
    <col min="12" max="12" width="9.5703125" style="132" bestFit="1" customWidth="1"/>
    <col min="13" max="13" width="24.28515625" style="132" bestFit="1" customWidth="1"/>
    <col min="14" max="14" width="39.140625" style="132" bestFit="1" customWidth="1"/>
    <col min="15" max="15" width="24.140625" style="132" bestFit="1" customWidth="1"/>
    <col min="16" max="16384" width="9.140625" style="132"/>
  </cols>
  <sheetData>
    <row r="2" spans="1:17" ht="29.25" customHeight="1">
      <c r="A2" s="132" t="s">
        <v>233</v>
      </c>
      <c r="B2" s="132" t="s">
        <v>234</v>
      </c>
      <c r="C2" s="132" t="s">
        <v>235</v>
      </c>
      <c r="D2" s="132" t="s">
        <v>236</v>
      </c>
      <c r="E2" s="131" t="s">
        <v>237</v>
      </c>
      <c r="F2" s="131" t="s">
        <v>238</v>
      </c>
      <c r="G2" s="131" t="s">
        <v>239</v>
      </c>
      <c r="H2" s="131" t="s">
        <v>240</v>
      </c>
      <c r="I2" s="131" t="s">
        <v>241</v>
      </c>
      <c r="J2" s="131" t="s">
        <v>242</v>
      </c>
      <c r="K2" s="131" t="s">
        <v>326</v>
      </c>
      <c r="L2" s="132" t="s">
        <v>329</v>
      </c>
      <c r="M2" s="132" t="s">
        <v>243</v>
      </c>
      <c r="N2" s="132" t="s">
        <v>244</v>
      </c>
      <c r="O2" s="132" t="s">
        <v>196</v>
      </c>
      <c r="P2" s="132" t="s">
        <v>20</v>
      </c>
    </row>
    <row r="3" spans="1:17" ht="38.25" customHeight="1">
      <c r="A3" s="132" t="s">
        <v>245</v>
      </c>
      <c r="B3" s="132" t="s">
        <v>246</v>
      </c>
      <c r="C3" s="132" t="s">
        <v>247</v>
      </c>
      <c r="D3" s="132" t="s">
        <v>248</v>
      </c>
      <c r="E3" s="100" t="s">
        <v>248</v>
      </c>
      <c r="F3" s="132" t="s">
        <v>248</v>
      </c>
      <c r="G3" s="132" t="s">
        <v>249</v>
      </c>
      <c r="H3" s="132" t="s">
        <v>249</v>
      </c>
      <c r="I3" s="132" t="s">
        <v>249</v>
      </c>
      <c r="J3" s="132" t="s">
        <v>249</v>
      </c>
      <c r="M3" s="130" t="s">
        <v>250</v>
      </c>
      <c r="N3" s="132" t="s">
        <v>251</v>
      </c>
      <c r="O3" s="130"/>
      <c r="P3" s="132" t="s">
        <v>277</v>
      </c>
    </row>
    <row r="4" spans="1:17" ht="40.5" customHeight="1">
      <c r="A4" s="132" t="s">
        <v>245</v>
      </c>
      <c r="B4" s="132" t="s">
        <v>252</v>
      </c>
      <c r="C4" s="132" t="s">
        <v>253</v>
      </c>
      <c r="D4" s="132" t="s">
        <v>248</v>
      </c>
      <c r="E4" s="100" t="s">
        <v>249</v>
      </c>
      <c r="F4" s="132" t="s">
        <v>248</v>
      </c>
      <c r="G4" s="132" t="s">
        <v>249</v>
      </c>
      <c r="H4" s="132" t="s">
        <v>254</v>
      </c>
      <c r="I4" s="132" t="s">
        <v>255</v>
      </c>
      <c r="J4" s="132" t="s">
        <v>249</v>
      </c>
      <c r="M4" s="130" t="s">
        <v>250</v>
      </c>
      <c r="N4" s="132" t="s">
        <v>256</v>
      </c>
      <c r="O4" s="130"/>
      <c r="P4" s="132" t="s">
        <v>293</v>
      </c>
    </row>
    <row r="5" spans="1:17" ht="38.25">
      <c r="A5" s="132" t="s">
        <v>245</v>
      </c>
      <c r="B5" s="132" t="s">
        <v>257</v>
      </c>
      <c r="C5" s="132" t="s">
        <v>258</v>
      </c>
      <c r="D5" s="132" t="s">
        <v>248</v>
      </c>
      <c r="E5" s="100" t="s">
        <v>248</v>
      </c>
      <c r="F5" s="132" t="s">
        <v>248</v>
      </c>
      <c r="G5" s="132" t="s">
        <v>248</v>
      </c>
      <c r="H5" s="132">
        <v>3.68</v>
      </c>
      <c r="I5" s="132">
        <v>9.1999999999999998E-3</v>
      </c>
      <c r="J5" s="132" t="s">
        <v>249</v>
      </c>
      <c r="M5" s="130" t="s">
        <v>259</v>
      </c>
      <c r="N5" s="130" t="s">
        <v>260</v>
      </c>
      <c r="O5" s="130" t="s">
        <v>219</v>
      </c>
      <c r="P5" s="132" t="s">
        <v>294</v>
      </c>
    </row>
    <row r="6" spans="1:17">
      <c r="A6" s="132" t="s">
        <v>245</v>
      </c>
      <c r="B6" s="132" t="s">
        <v>261</v>
      </c>
      <c r="C6" s="132" t="s">
        <v>258</v>
      </c>
      <c r="D6" s="132" t="s">
        <v>248</v>
      </c>
      <c r="E6" s="100" t="s">
        <v>248</v>
      </c>
      <c r="F6" s="132" t="s">
        <v>248</v>
      </c>
      <c r="G6" s="132" t="s">
        <v>248</v>
      </c>
      <c r="H6" s="132" t="s">
        <v>262</v>
      </c>
      <c r="I6" s="132" t="s">
        <v>263</v>
      </c>
      <c r="J6" s="132" t="s">
        <v>249</v>
      </c>
    </row>
    <row r="7" spans="1:17" customFormat="1" ht="38.25">
      <c r="A7" t="s">
        <v>245</v>
      </c>
      <c r="B7" t="s">
        <v>361</v>
      </c>
      <c r="C7" t="s">
        <v>339</v>
      </c>
      <c r="D7" t="s">
        <v>248</v>
      </c>
      <c r="E7" t="s">
        <v>248</v>
      </c>
      <c r="F7" t="s">
        <v>248</v>
      </c>
      <c r="G7" t="s">
        <v>249</v>
      </c>
      <c r="H7" t="s">
        <v>362</v>
      </c>
      <c r="I7" t="s">
        <v>255</v>
      </c>
      <c r="J7" t="s">
        <v>249</v>
      </c>
      <c r="K7" s="132" t="s">
        <v>248</v>
      </c>
      <c r="L7" s="132"/>
      <c r="M7" s="133" t="s">
        <v>259</v>
      </c>
      <c r="N7" s="133" t="s">
        <v>260</v>
      </c>
      <c r="Q7" t="s">
        <v>363</v>
      </c>
    </row>
    <row r="8" spans="1:17" ht="25.5">
      <c r="A8" s="132" t="s">
        <v>245</v>
      </c>
      <c r="B8" s="132" t="s">
        <v>325</v>
      </c>
      <c r="C8" s="132" t="s">
        <v>253</v>
      </c>
      <c r="D8" s="132" t="s">
        <v>248</v>
      </c>
      <c r="E8" s="100" t="s">
        <v>248</v>
      </c>
      <c r="F8" s="132" t="s">
        <v>248</v>
      </c>
      <c r="G8" s="132" t="s">
        <v>249</v>
      </c>
      <c r="H8" s="132" t="s">
        <v>249</v>
      </c>
      <c r="I8" s="132" t="s">
        <v>249</v>
      </c>
      <c r="J8" s="132" t="s">
        <v>249</v>
      </c>
      <c r="K8" s="132" t="s">
        <v>248</v>
      </c>
      <c r="M8" s="130" t="s">
        <v>250</v>
      </c>
      <c r="N8" s="130" t="s">
        <v>336</v>
      </c>
      <c r="O8" s="130"/>
      <c r="P8" s="132" t="s">
        <v>293</v>
      </c>
    </row>
    <row r="9" spans="1:17">
      <c r="A9" s="132" t="s">
        <v>337</v>
      </c>
      <c r="B9" s="132" t="s">
        <v>338</v>
      </c>
      <c r="C9" s="132" t="s">
        <v>339</v>
      </c>
      <c r="D9" s="132" t="s">
        <v>248</v>
      </c>
      <c r="E9" s="100" t="s">
        <v>248</v>
      </c>
      <c r="G9" s="132" t="s">
        <v>248</v>
      </c>
      <c r="H9" s="132" t="s">
        <v>340</v>
      </c>
      <c r="I9" s="132" t="s">
        <v>341</v>
      </c>
      <c r="O9" s="130" t="s">
        <v>342</v>
      </c>
      <c r="P9" s="132" t="s">
        <v>294</v>
      </c>
    </row>
    <row r="10" spans="1:17">
      <c r="A10" s="132" t="s">
        <v>337</v>
      </c>
      <c r="B10" s="132" t="s">
        <v>343</v>
      </c>
      <c r="C10" s="132" t="s">
        <v>344</v>
      </c>
      <c r="D10" s="132" t="s">
        <v>248</v>
      </c>
      <c r="E10" s="100" t="s">
        <v>248</v>
      </c>
      <c r="G10" s="132" t="s">
        <v>248</v>
      </c>
      <c r="H10" s="132" t="s">
        <v>340</v>
      </c>
      <c r="I10" s="132" t="s">
        <v>345</v>
      </c>
      <c r="O10" s="130" t="s">
        <v>342</v>
      </c>
      <c r="P10" s="132" t="s">
        <v>293</v>
      </c>
    </row>
    <row r="11" spans="1:17">
      <c r="A11" s="132" t="s">
        <v>337</v>
      </c>
      <c r="B11" s="132" t="s">
        <v>346</v>
      </c>
      <c r="C11" s="132" t="s">
        <v>344</v>
      </c>
      <c r="D11" s="132" t="s">
        <v>248</v>
      </c>
      <c r="E11" s="100" t="s">
        <v>248</v>
      </c>
      <c r="G11" s="132" t="s">
        <v>248</v>
      </c>
      <c r="H11" s="132" t="s">
        <v>347</v>
      </c>
      <c r="I11" s="132" t="s">
        <v>348</v>
      </c>
      <c r="O11" s="130" t="s">
        <v>342</v>
      </c>
      <c r="P11" s="132" t="s">
        <v>293</v>
      </c>
    </row>
    <row r="12" spans="1:17">
      <c r="A12" s="132" t="s">
        <v>337</v>
      </c>
      <c r="B12" s="132" t="s">
        <v>349</v>
      </c>
      <c r="C12" s="132" t="s">
        <v>339</v>
      </c>
      <c r="D12" s="132" t="s">
        <v>248</v>
      </c>
      <c r="E12" s="100" t="s">
        <v>248</v>
      </c>
      <c r="G12" s="132" t="s">
        <v>248</v>
      </c>
      <c r="H12" s="132" t="s">
        <v>350</v>
      </c>
      <c r="I12" s="132" t="s">
        <v>351</v>
      </c>
      <c r="O12" s="130" t="s">
        <v>352</v>
      </c>
      <c r="P12" s="132" t="s">
        <v>294</v>
      </c>
    </row>
    <row r="13" spans="1:17">
      <c r="A13" s="132" t="s">
        <v>337</v>
      </c>
      <c r="B13" s="132" t="s">
        <v>353</v>
      </c>
      <c r="C13" s="132" t="s">
        <v>354</v>
      </c>
      <c r="D13" s="132" t="s">
        <v>248</v>
      </c>
      <c r="E13" s="100" t="s">
        <v>248</v>
      </c>
      <c r="G13" s="132" t="s">
        <v>248</v>
      </c>
      <c r="H13" s="132" t="s">
        <v>350</v>
      </c>
      <c r="I13" s="132" t="s">
        <v>351</v>
      </c>
      <c r="O13" s="130" t="s">
        <v>352</v>
      </c>
      <c r="P13" s="132" t="s">
        <v>277</v>
      </c>
    </row>
    <row r="14" spans="1:17">
      <c r="M14" s="130"/>
    </row>
    <row r="15" spans="1:17">
      <c r="M15" s="130"/>
    </row>
    <row r="16" spans="1:17">
      <c r="M16" s="130"/>
    </row>
    <row r="17" spans="1:14">
      <c r="M17" s="130"/>
    </row>
    <row r="18" spans="1:14">
      <c r="M18" s="130"/>
    </row>
    <row r="19" spans="1:14">
      <c r="M19" s="130"/>
    </row>
    <row r="20" spans="1:14">
      <c r="M20" s="130"/>
    </row>
    <row r="21" spans="1:14">
      <c r="M21" s="130"/>
    </row>
    <row r="22" spans="1:14">
      <c r="M22" s="130"/>
    </row>
    <row r="23" spans="1:14">
      <c r="M23" s="130"/>
    </row>
    <row r="24" spans="1:14">
      <c r="M24" s="130"/>
    </row>
    <row r="25" spans="1:14">
      <c r="M25" s="130"/>
    </row>
    <row r="26" spans="1:14">
      <c r="M26" s="130"/>
    </row>
    <row r="28" spans="1:14" ht="25.5">
      <c r="A28" s="132" t="s">
        <v>328</v>
      </c>
      <c r="B28" s="132" t="s">
        <v>296</v>
      </c>
      <c r="L28" s="132" t="s">
        <v>248</v>
      </c>
      <c r="M28" s="130" t="s">
        <v>330</v>
      </c>
      <c r="N28" s="130" t="s">
        <v>331</v>
      </c>
    </row>
    <row r="29" spans="1:14" ht="25.5">
      <c r="A29" s="132" t="s">
        <v>328</v>
      </c>
      <c r="B29" s="132" t="s">
        <v>300</v>
      </c>
      <c r="E29" s="100" t="s">
        <v>248</v>
      </c>
      <c r="J29" s="132" t="s">
        <v>248</v>
      </c>
      <c r="L29" s="132" t="s">
        <v>248</v>
      </c>
      <c r="M29" s="130" t="s">
        <v>332</v>
      </c>
      <c r="N29" s="130" t="s">
        <v>333</v>
      </c>
    </row>
    <row r="30" spans="1:14">
      <c r="A30" s="132" t="s">
        <v>328</v>
      </c>
      <c r="B30" s="132" t="s">
        <v>334</v>
      </c>
      <c r="L30" s="132" t="s">
        <v>248</v>
      </c>
      <c r="M30" s="130" t="s">
        <v>335</v>
      </c>
      <c r="N30" s="130" t="s">
        <v>333</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READ_ME</vt:lpstr>
      <vt:lpstr>Enums</vt:lpstr>
      <vt:lpstr>Base</vt:lpstr>
      <vt:lpstr>UNITS_TRANSLATION</vt:lpstr>
      <vt:lpstr>CuWtTrans</vt:lpstr>
      <vt:lpstr>SITE</vt:lpstr>
      <vt:lpstr>CORE</vt:lpstr>
      <vt:lpstr>PREPREG</vt:lpstr>
      <vt:lpstr>FOIL</vt:lpstr>
      <vt:lpstr>FLEX_CLAD</vt:lpstr>
      <vt:lpstr>COVER_FILM</vt:lpstr>
      <vt:lpstr>ADHESIVE</vt:lpstr>
      <vt:lpstr>BONDPLY</vt:lpstr>
      <vt:lpstr>EMI_SHIELDING_FILM</vt:lpstr>
      <vt:lpstr>GENERAL_ACCESSORY</vt:lpstr>
      <vt:lpstr>MRP_STEP</vt:lpstr>
      <vt:lpstr>CUSTOMER</vt:lpstr>
      <vt:lpstr>MASK_MATERIAL</vt:lpstr>
      <vt:lpstr>DRILL_BIT</vt:lpstr>
      <vt:lpstr>Mask Enum Values</vt:lpstr>
      <vt:lpstr>CUSTOM_MATERIAL</vt:lpstr>
      <vt:lpstr>LAMINATE</vt:lpstr>
      <vt:lpstr>RCF</vt:lpstr>
      <vt:lpstr>MaterialTypes</vt:lpstr>
      <vt:lpstr>CORE!Excel_BuiltIn_Print_Titles_4</vt:lpstr>
    </vt:vector>
  </TitlesOfParts>
  <Company>Frontline PCB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7.50</dc:title>
  <dc:creator>charlie@frontline-pcb.com</dc:creator>
  <cp:keywords>Released on 30 Mar 2018</cp:keywords>
  <cp:lastModifiedBy>Nguyen Thi Kieu Trang</cp:lastModifiedBy>
  <cp:lastPrinted>2019-12-05T04:08:58Z</cp:lastPrinted>
  <dcterms:created xsi:type="dcterms:W3CDTF">2003-06-14T05:28:29Z</dcterms:created>
  <dcterms:modified xsi:type="dcterms:W3CDTF">2025-06-24T06:51:55Z</dcterms:modified>
</cp:coreProperties>
</file>